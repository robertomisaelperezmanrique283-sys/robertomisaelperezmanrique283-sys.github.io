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2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D_PT" sheetId="1" r:id="rId4"/>
    <sheet state="visible" name="0109" sheetId="2" r:id="rId5"/>
    <sheet state="visible" name="0209" sheetId="3" r:id="rId6"/>
    <sheet state="visible" name="0309" sheetId="4" r:id="rId7"/>
    <sheet state="visible" name="0409" sheetId="5" r:id="rId8"/>
    <sheet state="visible" name="0509" sheetId="6" r:id="rId9"/>
    <sheet state="visible" name="0609" sheetId="7" r:id="rId10"/>
    <sheet state="visible" name="0709" sheetId="8" r:id="rId11"/>
    <sheet state="visible" name="0809" sheetId="9" r:id="rId12"/>
    <sheet state="visible" name="0909" sheetId="10" r:id="rId13"/>
    <sheet state="visible" name="1009" sheetId="11" r:id="rId14"/>
    <sheet state="visible" name="1109" sheetId="12" r:id="rId15"/>
    <sheet state="visible" name="1209" sheetId="13" r:id="rId16"/>
    <sheet state="visible" name="1309" sheetId="14" r:id="rId17"/>
    <sheet state="visible" name="1409" sheetId="15" r:id="rId18"/>
    <sheet state="visible" name="1509" sheetId="16" r:id="rId19"/>
    <sheet state="visible" name="1609" sheetId="17" r:id="rId20"/>
    <sheet state="visible" name="1709" sheetId="18" r:id="rId21"/>
    <sheet state="visible" name="1809" sheetId="19" r:id="rId22"/>
    <sheet state="visible" name="1909" sheetId="20" r:id="rId23"/>
    <sheet state="visible" name="2009" sheetId="21" r:id="rId24"/>
    <sheet state="visible" name="2109" sheetId="22" r:id="rId25"/>
    <sheet state="visible" name="2209" sheetId="23" r:id="rId26"/>
    <sheet state="visible" name="2309" sheetId="24" r:id="rId27"/>
    <sheet state="visible" name="2409" sheetId="25" r:id="rId28"/>
    <sheet state="visible" name="2509" sheetId="26" r:id="rId29"/>
    <sheet state="visible" name="2609" sheetId="27" r:id="rId30"/>
    <sheet state="visible" name="2709" sheetId="28" r:id="rId31"/>
    <sheet state="visible" name="2809" sheetId="29" r:id="rId32"/>
    <sheet state="visible" name="2909" sheetId="30" r:id="rId33"/>
    <sheet state="visible" name="3009" sheetId="31" r:id="rId34"/>
  </sheets>
  <definedNames/>
  <calcPr/>
  <extLst>
    <ext uri="GoogleSheetsCustomDataVersion2">
      <go:sheetsCustomData xmlns:go="http://customooxmlschemas.google.com/" r:id="rId35" roundtripDataChecksum="h+Jo/wy/EelJvby3nvpE9pdLJeiqE1WbjtETNTQ4sTI="/>
    </ext>
  </extLst>
</workbook>
</file>

<file path=xl/sharedStrings.xml><?xml version="1.0" encoding="utf-8"?>
<sst xmlns="http://schemas.openxmlformats.org/spreadsheetml/2006/main" count="1108" uniqueCount="221">
  <si>
    <t>SKU</t>
  </si>
  <si>
    <t>DESCRIPCIÓN</t>
  </si>
  <si>
    <t>PRECIO DE VENTA</t>
  </si>
  <si>
    <t>FRES-01</t>
  </si>
  <si>
    <t>FRESAS CON CREMA MIDELI 7 OZ</t>
  </si>
  <si>
    <t>FRES-02</t>
  </si>
  <si>
    <t>FRESAS CON CREMA MIDELI 12 OZ</t>
  </si>
  <si>
    <t>FRES-03</t>
  </si>
  <si>
    <t>FRESAS CON CREMA MIDELI 14 OZ</t>
  </si>
  <si>
    <t>FRES-04</t>
  </si>
  <si>
    <t>FRESAS CON CREMA MIDELI 5 OZ mesa postres</t>
  </si>
  <si>
    <t>FRES-05</t>
  </si>
  <si>
    <t>FRESAS CON CREMA DE CHOCOLATE 7 OZ</t>
  </si>
  <si>
    <t>FRES-06</t>
  </si>
  <si>
    <t>FRESAS CON CREMA DE CHOCOLATE 12 OZ</t>
  </si>
  <si>
    <t>FRES-07</t>
  </si>
  <si>
    <t>FRESAS CON CREMA DE CHOCOLATE 14 OZ</t>
  </si>
  <si>
    <t>FRES-08</t>
  </si>
  <si>
    <t>FRESAS CON CHAMOY 7 OZ</t>
  </si>
  <si>
    <t>FRES-09</t>
  </si>
  <si>
    <t>FRESAS CON CHAMOY 12 OZ</t>
  </si>
  <si>
    <t>FRES-10</t>
  </si>
  <si>
    <t>FRESAS CON CHAMOY 14 OZ</t>
  </si>
  <si>
    <t>FRES-11</t>
  </si>
  <si>
    <t>FRESAS FERRERO CREMA MIDELI 12 OZ</t>
  </si>
  <si>
    <t>FRES-12</t>
  </si>
  <si>
    <t>FRESAS FERRERO CREMA MIDELI 14 OZ</t>
  </si>
  <si>
    <t>FRES-13</t>
  </si>
  <si>
    <t>FRESAS FERRERO CREMA CHOCOLATE 12 OZ</t>
  </si>
  <si>
    <t>FRES-14</t>
  </si>
  <si>
    <t>FRESAS FERRERO CREMA CHOCOLATE 14 OZ</t>
  </si>
  <si>
    <t>FRES-15</t>
  </si>
  <si>
    <t>FRESAS GRIEGAS 7 OZ</t>
  </si>
  <si>
    <t>FRES-16</t>
  </si>
  <si>
    <t>FRESAS GRIEGAS 12 OZ</t>
  </si>
  <si>
    <t>FRES-17</t>
  </si>
  <si>
    <t>FRESAS GRIEGAS 14 OZ</t>
  </si>
  <si>
    <t>FRES-18</t>
  </si>
  <si>
    <t xml:space="preserve">FRESAS KINDER DELICE 12OZ </t>
  </si>
  <si>
    <t>FRES-19</t>
  </si>
  <si>
    <t xml:space="preserve">FRESAS KINDER DELICE 14OZ </t>
  </si>
  <si>
    <t>FRES-20</t>
  </si>
  <si>
    <t>MINI PALETA FRESAS MIDELI</t>
  </si>
  <si>
    <t>GALL-01</t>
  </si>
  <si>
    <t>VAINILLA CHISP</t>
  </si>
  <si>
    <t>GALL-02</t>
  </si>
  <si>
    <t>VAINILLA OREO</t>
  </si>
  <si>
    <t>GALL-03</t>
  </si>
  <si>
    <t>CHOCO CHISP</t>
  </si>
  <si>
    <t>GALL-04</t>
  </si>
  <si>
    <t>RED VELVET</t>
  </si>
  <si>
    <t>GALL-05</t>
  </si>
  <si>
    <t>VAINI AVELLANA ESPECIAL</t>
  </si>
  <si>
    <t>POST-01</t>
  </si>
  <si>
    <t xml:space="preserve">CHEESECAKE TORTUGA </t>
  </si>
  <si>
    <t>POST-02</t>
  </si>
  <si>
    <t>CHEESECAKE FRAMBUESA</t>
  </si>
  <si>
    <t>POSRT-03</t>
  </si>
  <si>
    <t>PASTEL MATILDA</t>
  </si>
  <si>
    <t>POST-04</t>
  </si>
  <si>
    <t>MUFFINS CHOCOLATE</t>
  </si>
  <si>
    <t>POST-05</t>
  </si>
  <si>
    <t xml:space="preserve">MINI MUFFINS </t>
  </si>
  <si>
    <t>POST-06</t>
  </si>
  <si>
    <t>MINI DONAS (5pzs)</t>
  </si>
  <si>
    <t>POST-07</t>
  </si>
  <si>
    <t>FLAN</t>
  </si>
  <si>
    <t>POST-08</t>
  </si>
  <si>
    <t>VAQUITA MIDELI</t>
  </si>
  <si>
    <t>POST-09</t>
  </si>
  <si>
    <t>VAQUITA CHOCOMIDELI</t>
  </si>
  <si>
    <t>POST-10</t>
  </si>
  <si>
    <t>PROMO MINIS COMBINADA O NORMAL</t>
  </si>
  <si>
    <t>POST-11</t>
  </si>
  <si>
    <t>MINI ROLLOS DE CANELA</t>
  </si>
  <si>
    <t>EXTR-01</t>
  </si>
  <si>
    <t>BOLSA DULCES</t>
  </si>
  <si>
    <t>EXTR-02</t>
  </si>
  <si>
    <t>CREMA AVELLANAS 7oz</t>
  </si>
  <si>
    <t>EXTR-03</t>
  </si>
  <si>
    <t>CREMA AVELLANAS 12 Y 14 oz</t>
  </si>
  <si>
    <t>EXTR-04</t>
  </si>
  <si>
    <t>CAMBIO CREMA CHOCOLATE</t>
  </si>
  <si>
    <t>DSCH-01</t>
  </si>
  <si>
    <t>VASO 7,12,14 oz</t>
  </si>
  <si>
    <t>DSCH-02</t>
  </si>
  <si>
    <t>CUCHARA</t>
  </si>
  <si>
    <t>TOPP-05CHO</t>
  </si>
  <si>
    <t>CHOCOLATE (FERRERO)</t>
  </si>
  <si>
    <t>TOPP-25KIN</t>
  </si>
  <si>
    <t>KINDER DELICE</t>
  </si>
  <si>
    <t>TOPP-24SKW</t>
  </si>
  <si>
    <t>SKWINKLES SALSAGHETI SANDIA</t>
  </si>
  <si>
    <t>TOPP-15MAZ</t>
  </si>
  <si>
    <t>MAZAPAN CHICO</t>
  </si>
  <si>
    <t>AC2.5</t>
  </si>
  <si>
    <t>ACERO INOXIDABLE 2.5</t>
  </si>
  <si>
    <t>AGREGAR MANUALMENTE</t>
  </si>
  <si>
    <t>AC2T5</t>
  </si>
  <si>
    <t>ACERO INOXIDABLE 2T5</t>
  </si>
  <si>
    <t>AC3</t>
  </si>
  <si>
    <t>ACERO INOXIDABLE 3</t>
  </si>
  <si>
    <t>BRO1.5</t>
  </si>
  <si>
    <t>BAÑO RODIO 1.5</t>
  </si>
  <si>
    <t>BRO2</t>
  </si>
  <si>
    <t>BAÑO RODIO 2</t>
  </si>
  <si>
    <t>BRO2.2</t>
  </si>
  <si>
    <t>BAÑO RODIO 2.2</t>
  </si>
  <si>
    <t>BRO2.5</t>
  </si>
  <si>
    <t>BAÑO RODIO 2.5</t>
  </si>
  <si>
    <t>BRO2T5</t>
  </si>
  <si>
    <t>BAÑO RODIO 2T5</t>
  </si>
  <si>
    <t>OL1.5</t>
  </si>
  <si>
    <t>ORO LAMINADO 1.5</t>
  </si>
  <si>
    <t>OL2</t>
  </si>
  <si>
    <t>ORO LAMINADO 2</t>
  </si>
  <si>
    <t>OL2.5</t>
  </si>
  <si>
    <t>ORO LAMINADO 2.5</t>
  </si>
  <si>
    <t>OL2T5</t>
  </si>
  <si>
    <t>ORO LAMINADO 2T5</t>
  </si>
  <si>
    <t>PT1.4</t>
  </si>
  <si>
    <t>PLATA 1.4</t>
  </si>
  <si>
    <t>PT1.7</t>
  </si>
  <si>
    <t>PLATA 1.7</t>
  </si>
  <si>
    <t>PT1.8</t>
  </si>
  <si>
    <t>PLATA 1.8</t>
  </si>
  <si>
    <t>PT1.9</t>
  </si>
  <si>
    <t>PLATA 1.9</t>
  </si>
  <si>
    <t>PT2</t>
  </si>
  <si>
    <t>PLATA 2</t>
  </si>
  <si>
    <t>PT2.5</t>
  </si>
  <si>
    <t>PLATA 2.5</t>
  </si>
  <si>
    <t>PT2T5</t>
  </si>
  <si>
    <t>PLATA 2T5</t>
  </si>
  <si>
    <t>CANTIDAD</t>
  </si>
  <si>
    <t xml:space="preserve">DESCRIPCIÓN </t>
  </si>
  <si>
    <t>CODIGO</t>
  </si>
  <si>
    <t>PRECIO COBRADO</t>
  </si>
  <si>
    <t>PRECIO REAL</t>
  </si>
  <si>
    <t>COMENTARIO</t>
  </si>
  <si>
    <t>CAJA</t>
  </si>
  <si>
    <t>COLLAR</t>
  </si>
  <si>
    <t>EFECTIVO</t>
  </si>
  <si>
    <t>TARJETA</t>
  </si>
  <si>
    <t>CHEESECAKE TORTUGA</t>
  </si>
  <si>
    <t xml:space="preserve">TOBILLERA </t>
  </si>
  <si>
    <t>FRESAS KINDER 14OZ</t>
  </si>
  <si>
    <t xml:space="preserve">TARJETA </t>
  </si>
  <si>
    <t xml:space="preserve">PULSERA </t>
  </si>
  <si>
    <t>PULSERA</t>
  </si>
  <si>
    <t>ARETE</t>
  </si>
  <si>
    <t xml:space="preserve">EFECTIVO </t>
  </si>
  <si>
    <t>ANILLO</t>
  </si>
  <si>
    <t>RELOJ</t>
  </si>
  <si>
    <t xml:space="preserve">PANDITAS </t>
  </si>
  <si>
    <t xml:space="preserve">GUSANOS </t>
  </si>
  <si>
    <t xml:space="preserve">PROMOCIÓN 2X1 </t>
  </si>
  <si>
    <t>FRESAS KINDER 12OZ</t>
  </si>
  <si>
    <t>FRESAS DELICE</t>
  </si>
  <si>
    <t xml:space="preserve">FRESAS DELICE </t>
  </si>
  <si>
    <t>PROMOCIÓN 2x1</t>
  </si>
  <si>
    <t xml:space="preserve">FLAN </t>
  </si>
  <si>
    <t>CADENA</t>
  </si>
  <si>
    <t>MATILDA</t>
  </si>
  <si>
    <t xml:space="preserve">ARETES </t>
  </si>
  <si>
    <t xml:space="preserve">CADENA </t>
  </si>
  <si>
    <t xml:space="preserve">ANILLO </t>
  </si>
  <si>
    <t xml:space="preserve">PASTEL MATILDA </t>
  </si>
  <si>
    <t xml:space="preserve">2x1promo </t>
  </si>
  <si>
    <t xml:space="preserve">TRANSFERENCIA </t>
  </si>
  <si>
    <t>FRESAS KINDER 14oz</t>
  </si>
  <si>
    <t xml:space="preserve">FRESAS KINDER 12OZ </t>
  </si>
  <si>
    <t>DONITAS 5PZ</t>
  </si>
  <si>
    <t>MAMA</t>
  </si>
  <si>
    <t>NO SALEN HASTA QUE SUPEREN VENTAS</t>
  </si>
  <si>
    <t>JAJAJAJA</t>
  </si>
  <si>
    <t>ARETES</t>
  </si>
  <si>
    <t xml:space="preserve">PASITAS CON CHOCOLATE </t>
  </si>
  <si>
    <t>PASITAS</t>
  </si>
  <si>
    <t>GUSANOS</t>
  </si>
  <si>
    <t>PROMO 2X1</t>
  </si>
  <si>
    <t xml:space="preserve">PROMO 2X1 </t>
  </si>
  <si>
    <t xml:space="preserve">PROMO 2X1 TARJETA </t>
  </si>
  <si>
    <t>PROMO 2X1 MIÉ</t>
  </si>
  <si>
    <t>LIZ</t>
  </si>
  <si>
    <t xml:space="preserve">ARETE/OBSEQUIO </t>
  </si>
  <si>
    <t>OBSEQUIO COMPRA GALLETAS</t>
  </si>
  <si>
    <t>TARJETA /COLLAR</t>
  </si>
  <si>
    <t>BRAZALETE</t>
  </si>
  <si>
    <t>GAJOS</t>
  </si>
  <si>
    <t xml:space="preserve">CADENA / TARJETA </t>
  </si>
  <si>
    <t>EXTRA JARABE 12OZ</t>
  </si>
  <si>
    <t xml:space="preserve">CAJA </t>
  </si>
  <si>
    <t xml:space="preserve">efectivo </t>
  </si>
  <si>
    <t xml:space="preserve">transferencia </t>
  </si>
  <si>
    <t xml:space="preserve">tarjeta </t>
  </si>
  <si>
    <t xml:space="preserve">MANGUITOS </t>
  </si>
  <si>
    <t>95 EFECTIVO  50 TRANSF</t>
  </si>
  <si>
    <t>MISAEL</t>
  </si>
  <si>
    <t>TRANSF</t>
  </si>
  <si>
    <t>TARJETA  / ARETE</t>
  </si>
  <si>
    <t>PAPA</t>
  </si>
  <si>
    <t>PALETA CORAZON FRIO</t>
  </si>
  <si>
    <t>HOJALDRA RELLENA</t>
  </si>
  <si>
    <t>KRANKY</t>
  </si>
  <si>
    <t>ARETE / OBSEQUIO CON COLLAR</t>
  </si>
  <si>
    <t xml:space="preserve">JACQUE </t>
  </si>
  <si>
    <t xml:space="preserve">PALETA CORAZON FRIO </t>
  </si>
  <si>
    <t xml:space="preserve">PULSERA / TARJETA </t>
  </si>
  <si>
    <t xml:space="preserve">PALETA CORAZON </t>
  </si>
  <si>
    <t xml:space="preserve">TARJETA / CADENA INICIAL </t>
  </si>
  <si>
    <t xml:space="preserve"> ANILLOS</t>
  </si>
  <si>
    <t>MAMA BETO</t>
  </si>
  <si>
    <t xml:space="preserve">GAJOS NARANJA </t>
  </si>
  <si>
    <t>OJALDRA SOLA</t>
  </si>
  <si>
    <t xml:space="preserve">TARJETA / PULSERA </t>
  </si>
  <si>
    <t xml:space="preserve">% JACQUE </t>
  </si>
  <si>
    <t xml:space="preserve">COLLAR </t>
  </si>
  <si>
    <t>HOJALDRA</t>
  </si>
  <si>
    <t>JOANA</t>
  </si>
  <si>
    <t xml:space="preserve">PROMO MUFFINS 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</si>
</sst>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&quot;$&quot;#,##0.00"/>
  </numFmts>
  <fonts count="6">
    <font>
      <sz val="10.0"/>
      <color rgb="FF000000"/>
      <name val="Arial"/>
      <scheme val="minor"/>
    </font>
    <font>
      <b/>
      <sz val="11.0"/>
      <color theme="1"/>
      <name val="Carlito"/>
    </font>
    <font>
      <sz val="11.0"/>
      <color rgb="FF0070C0"/>
      <name val="Carlito"/>
    </font>
    <font>
      <sz val="11.0"/>
      <color rgb="FF0000FF"/>
      <name val="Carlito"/>
    </font>
    <font>
      <color theme="1"/>
      <name val="Arial"/>
    </font>
    <font>
      <color theme="1"/>
      <name val="Arial"/>
      <scheme val="minor"/>
    </font>
  </fonts>
  <fills count="4">
    <fill>
      <patternFill patternType="none"/>
    </fill>
    <fill>
      <patternFill patternType="lightGray"/>
    </fill>
    <fill>
      <patternFill patternType="solid">
        <fgColor rgb="FFC0E6F5"/>
        <bgColor rgb="FFC0E6F5"/>
      </patternFill>
    </fill>
    <fill>
      <patternFill patternType="solid">
        <fgColor rgb="FF00FF00"/>
        <bgColor rgb="FF00FF00"/>
      </patternFill>
    </fill>
  </fills>
  <borders count="5">
    <border/>
    <border>
      <left style="thin">
        <color rgb="FF44B3E1"/>
      </left>
      <top style="thin">
        <color rgb="FF44B3E1"/>
      </top>
      <bottom style="thin">
        <color rgb="FF44B3E1"/>
      </bottom>
    </border>
    <border>
      <top style="thin">
        <color rgb="FF44B3E1"/>
      </top>
      <bottom style="thin">
        <color rgb="FF44B3E1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35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shrinkToFit="0" vertical="center" wrapText="0"/>
    </xf>
    <xf borderId="1" fillId="2" fontId="2" numFmtId="0" xfId="0" applyAlignment="1" applyBorder="1" applyFill="1" applyFont="1">
      <alignment shrinkToFit="0" vertical="bottom" wrapText="0"/>
    </xf>
    <xf borderId="2" fillId="2" fontId="2" numFmtId="0" xfId="0" applyAlignment="1" applyBorder="1" applyFill="1" applyFont="1">
      <alignment shrinkToFit="0" vertical="bottom" wrapText="0"/>
    </xf>
    <xf borderId="2" fillId="2" fontId="2" numFmtId="164" xfId="0" applyAlignment="1" applyBorder="1" applyFill="1" applyFont="1" applyNumberFormat="1">
      <alignment shrinkToFit="0" vertical="bottom" wrapText="0"/>
    </xf>
    <xf borderId="1" fillId="0" fontId="2" numFmtId="0" xfId="0" applyAlignment="1" applyBorder="1" applyFont="1">
      <alignment shrinkToFit="0" vertical="bottom" wrapText="0"/>
    </xf>
    <xf borderId="2" fillId="0" fontId="2" numFmtId="0" xfId="0" applyAlignment="1" applyBorder="1" applyFont="1">
      <alignment shrinkToFit="0" vertical="bottom" wrapText="0"/>
    </xf>
    <xf borderId="2" fillId="0" fontId="2" numFmtId="164" xfId="0" applyAlignment="1" applyBorder="1" applyFont="1" applyNumberFormat="1">
      <alignment shrinkToFit="0" vertical="bottom" wrapText="0"/>
    </xf>
    <xf borderId="2" fillId="2" fontId="2" numFmtId="164" xfId="0" applyAlignment="1" applyBorder="1" applyFill="1" applyFont="1" applyNumberFormat="1">
      <alignment readingOrder="0" shrinkToFit="0" vertical="bottom" wrapText="0"/>
    </xf>
    <xf borderId="2" fillId="0" fontId="2" numFmtId="164" xfId="0" applyAlignment="1" applyBorder="1" applyFont="1" applyNumberFormat="1">
      <alignment readingOrder="0" shrinkToFit="0" vertical="bottom" wrapText="0"/>
    </xf>
    <xf borderId="1" fillId="2" fontId="2" numFmtId="0" xfId="0" applyAlignment="1" applyBorder="1" applyFill="1" applyFont="1">
      <alignment readingOrder="0" shrinkToFit="0" vertical="bottom" wrapText="0"/>
    </xf>
    <xf borderId="2" fillId="2" fontId="2" numFmtId="0" xfId="0" applyAlignment="1" applyBorder="1" applyFill="1" applyFont="1">
      <alignment readingOrder="0" shrinkToFit="0" vertical="bottom" wrapText="0"/>
    </xf>
    <xf borderId="1" fillId="0" fontId="2" numFmtId="0" xfId="0" applyAlignment="1" applyBorder="1" applyFont="1">
      <alignment readingOrder="0" shrinkToFit="0" vertical="bottom" wrapText="0"/>
    </xf>
    <xf borderId="2" fillId="0" fontId="2" numFmtId="0" xfId="0" applyAlignment="1" applyBorder="1" applyFont="1">
      <alignment readingOrder="0" shrinkToFit="0" vertical="bottom" wrapText="0"/>
    </xf>
    <xf borderId="1" fillId="0" fontId="3" numFmtId="0" xfId="0" applyAlignment="1" applyBorder="1" applyFont="1">
      <alignment shrinkToFit="0" vertical="bottom" wrapText="0"/>
    </xf>
    <xf borderId="0" fillId="2" fontId="2" numFmtId="0" xfId="0" applyAlignment="1" applyFill="1" applyFont="1">
      <alignment shrinkToFit="0" vertical="bottom" wrapText="0"/>
    </xf>
    <xf borderId="0" fillId="2" fontId="2" numFmtId="164" xfId="0" applyAlignment="1" applyFill="1" applyFont="1" applyNumberFormat="1">
      <alignment shrinkToFit="0" vertical="bottom" wrapText="0"/>
    </xf>
    <xf borderId="1" fillId="2" fontId="3" numFmtId="0" xfId="0" applyAlignment="1" applyBorder="1" applyFill="1" applyFont="1">
      <alignment shrinkToFit="0" vertical="bottom" wrapText="0"/>
    </xf>
    <xf borderId="3" fillId="3" fontId="4" numFmtId="0" xfId="0" applyAlignment="1" applyBorder="1" applyFill="1" applyFont="1">
      <alignment horizontal="center" shrinkToFit="0" vertical="bottom" wrapText="1"/>
    </xf>
    <xf borderId="3" fillId="3" fontId="4" numFmtId="0" xfId="0" applyAlignment="1" applyBorder="1" applyFill="1" applyFont="1">
      <alignment horizontal="center" vertical="bottom"/>
    </xf>
    <xf borderId="0" fillId="0" fontId="4" numFmtId="0" xfId="0" applyAlignment="1" applyFont="1">
      <alignment horizontal="center"/>
    </xf>
    <xf borderId="4" fillId="0" fontId="5" numFmtId="0" xfId="0" applyAlignment="1" applyBorder="1" applyFont="1">
      <alignment readingOrder="0"/>
    </xf>
    <xf borderId="4" fillId="0" fontId="4" numFmtId="0" xfId="0" applyAlignment="1" applyBorder="1" applyFont="1">
      <alignment readingOrder="0"/>
    </xf>
    <xf borderId="0" fillId="0" fontId="4" numFmtId="0" xfId="0" applyAlignment="1" applyFont="1">
      <alignment readingOrder="0"/>
    </xf>
    <xf borderId="4" fillId="0" fontId="4" numFmtId="0" xfId="0" applyBorder="1" applyFont="1"/>
    <xf borderId="4" fillId="0" fontId="5" numFmtId="0" xfId="0" applyBorder="1" applyFont="1"/>
    <xf borderId="0" fillId="0" fontId="4" numFmtId="0" xfId="0" applyFont="1"/>
    <xf borderId="4" fillId="0" fontId="5" numFmtId="0" xfId="0" applyAlignment="1" applyBorder="1" applyFont="1">
      <alignment readingOrder="0"/>
    </xf>
    <xf borderId="4" fillId="0" fontId="5" numFmtId="0" xfId="0" applyBorder="1" applyFont="1"/>
    <xf borderId="0" fillId="0" fontId="5" numFmtId="0" xfId="0" applyAlignment="1" applyFont="1">
      <alignment readingOrder="0"/>
    </xf>
    <xf borderId="4" fillId="0" fontId="4" numFmtId="0" xfId="0" applyAlignment="1" applyBorder="1" applyFont="1">
      <alignment readingOrder="0" shrinkToFit="0" wrapText="1"/>
    </xf>
    <xf borderId="0" fillId="0" fontId="5" numFmtId="0" xfId="0" applyAlignment="1" applyFont="1">
      <alignment horizontal="center"/>
    </xf>
    <xf borderId="4" fillId="0" fontId="5" numFmtId="0" xfId="0" applyAlignment="1" applyBorder="1" applyFont="1">
      <alignment horizontal="center" readingOrder="0"/>
    </xf>
    <xf borderId="4" fillId="0" fontId="4" numFmtId="0" xfId="0" applyAlignment="1" applyBorder="1" applyFont="1">
      <alignment horizontal="center" readingOrder="0"/>
    </xf>
    <xf borderId="4" fillId="0" fontId="4" numFmtId="0" xfId="0" applyAlignment="1" applyBorder="1" applyFont="1">
      <alignment horizont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customschemas.google.com/relationships/workbookmetadata" Target="metadata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75"/>
    <col customWidth="1" min="2" max="2" width="37.13"/>
    <col customWidth="1" min="3" max="3" width="22.25"/>
  </cols>
  <sheetData>
    <row r="1" ht="22.5" customHeight="1">
      <c r="A1" s="1" t="s">
        <v>0</v>
      </c>
      <c r="B1" s="1" t="s">
        <v>1</v>
      </c>
      <c r="C1" s="1" t="s">
        <v>2</v>
      </c>
    </row>
    <row r="2" ht="22.5" customHeight="1">
      <c r="A2" s="2" t="s">
        <v>3</v>
      </c>
      <c r="B2" s="3" t="s">
        <v>4</v>
      </c>
      <c r="C2" s="4">
        <v>46.0</v>
      </c>
    </row>
    <row r="3" ht="22.5" customHeight="1">
      <c r="A3" s="5" t="s">
        <v>5</v>
      </c>
      <c r="B3" s="6" t="s">
        <v>6</v>
      </c>
      <c r="C3" s="7">
        <v>69.0</v>
      </c>
    </row>
    <row r="4" ht="22.5" customHeight="1">
      <c r="A4" s="2" t="s">
        <v>7</v>
      </c>
      <c r="B4" s="3" t="s">
        <v>8</v>
      </c>
      <c r="C4" s="4">
        <v>89.0</v>
      </c>
    </row>
    <row r="5" ht="22.5" customHeight="1">
      <c r="A5" s="5" t="s">
        <v>9</v>
      </c>
      <c r="B5" s="6" t="s">
        <v>10</v>
      </c>
      <c r="C5" s="7">
        <v>45.0</v>
      </c>
    </row>
    <row r="6" ht="22.5" customHeight="1">
      <c r="A6" s="2" t="s">
        <v>11</v>
      </c>
      <c r="B6" s="3" t="s">
        <v>12</v>
      </c>
      <c r="C6" s="4">
        <v>55.0</v>
      </c>
    </row>
    <row r="7" ht="22.5" customHeight="1">
      <c r="A7" s="5" t="s">
        <v>13</v>
      </c>
      <c r="B7" s="6" t="s">
        <v>14</v>
      </c>
      <c r="C7" s="7">
        <v>79.0</v>
      </c>
    </row>
    <row r="8" ht="22.5" customHeight="1">
      <c r="A8" s="2" t="s">
        <v>15</v>
      </c>
      <c r="B8" s="3" t="s">
        <v>16</v>
      </c>
      <c r="C8" s="4">
        <v>99.0</v>
      </c>
    </row>
    <row r="9" ht="22.5" customHeight="1">
      <c r="A9" s="5" t="s">
        <v>17</v>
      </c>
      <c r="B9" s="6" t="s">
        <v>18</v>
      </c>
      <c r="C9" s="7">
        <v>55.0</v>
      </c>
    </row>
    <row r="10" ht="22.5" customHeight="1">
      <c r="A10" s="2" t="s">
        <v>19</v>
      </c>
      <c r="B10" s="3" t="s">
        <v>20</v>
      </c>
      <c r="C10" s="4">
        <v>79.0</v>
      </c>
    </row>
    <row r="11" ht="22.5" customHeight="1">
      <c r="A11" s="5" t="s">
        <v>21</v>
      </c>
      <c r="B11" s="6" t="s">
        <v>22</v>
      </c>
      <c r="C11" s="7">
        <v>99.0</v>
      </c>
    </row>
    <row r="12" ht="22.5" customHeight="1">
      <c r="A12" s="2" t="s">
        <v>23</v>
      </c>
      <c r="B12" s="3" t="s">
        <v>24</v>
      </c>
      <c r="C12" s="8">
        <v>128.0</v>
      </c>
    </row>
    <row r="13" ht="22.5" customHeight="1">
      <c r="A13" s="5" t="s">
        <v>25</v>
      </c>
      <c r="B13" s="6" t="s">
        <v>26</v>
      </c>
      <c r="C13" s="9">
        <v>153.0</v>
      </c>
    </row>
    <row r="14" ht="22.5" customHeight="1">
      <c r="A14" s="2" t="s">
        <v>27</v>
      </c>
      <c r="B14" s="3" t="s">
        <v>28</v>
      </c>
      <c r="C14" s="8">
        <v>133.0</v>
      </c>
    </row>
    <row r="15" ht="22.5" customHeight="1">
      <c r="A15" s="5" t="s">
        <v>29</v>
      </c>
      <c r="B15" s="6" t="s">
        <v>30</v>
      </c>
      <c r="C15" s="9">
        <v>158.0</v>
      </c>
    </row>
    <row r="16" ht="22.5" customHeight="1">
      <c r="A16" s="2" t="s">
        <v>31</v>
      </c>
      <c r="B16" s="3" t="s">
        <v>32</v>
      </c>
      <c r="C16" s="4">
        <v>66.0</v>
      </c>
    </row>
    <row r="17" ht="22.5" customHeight="1">
      <c r="A17" s="5" t="s">
        <v>33</v>
      </c>
      <c r="B17" s="6" t="s">
        <v>34</v>
      </c>
      <c r="C17" s="7">
        <v>96.0</v>
      </c>
    </row>
    <row r="18" ht="22.5" customHeight="1">
      <c r="A18" s="2" t="s">
        <v>35</v>
      </c>
      <c r="B18" s="3" t="s">
        <v>36</v>
      </c>
      <c r="C18" s="4">
        <v>124.0</v>
      </c>
    </row>
    <row r="19" ht="22.5" customHeight="1">
      <c r="A19" s="10" t="s">
        <v>37</v>
      </c>
      <c r="B19" s="11" t="s">
        <v>38</v>
      </c>
      <c r="C19" s="8">
        <v>125.0</v>
      </c>
    </row>
    <row r="20" ht="22.5" customHeight="1">
      <c r="A20" s="10" t="s">
        <v>39</v>
      </c>
      <c r="B20" s="11" t="s">
        <v>40</v>
      </c>
      <c r="C20" s="8">
        <v>145.0</v>
      </c>
    </row>
    <row r="21" ht="22.5" customHeight="1">
      <c r="A21" s="10" t="s">
        <v>41</v>
      </c>
      <c r="B21" s="11" t="s">
        <v>42</v>
      </c>
      <c r="C21" s="8">
        <v>10.0</v>
      </c>
    </row>
    <row r="22" ht="22.5" customHeight="1">
      <c r="A22" s="5" t="s">
        <v>43</v>
      </c>
      <c r="B22" s="6" t="s">
        <v>44</v>
      </c>
      <c r="C22" s="7">
        <v>39.0</v>
      </c>
    </row>
    <row r="23" ht="22.5" customHeight="1">
      <c r="A23" s="2" t="s">
        <v>45</v>
      </c>
      <c r="B23" s="3" t="s">
        <v>46</v>
      </c>
      <c r="C23" s="4">
        <v>39.0</v>
      </c>
    </row>
    <row r="24" ht="22.5" customHeight="1">
      <c r="A24" s="5" t="s">
        <v>47</v>
      </c>
      <c r="B24" s="6" t="s">
        <v>48</v>
      </c>
      <c r="C24" s="7">
        <v>39.0</v>
      </c>
    </row>
    <row r="25" ht="22.5" customHeight="1">
      <c r="A25" s="2" t="s">
        <v>49</v>
      </c>
      <c r="B25" s="3" t="s">
        <v>50</v>
      </c>
      <c r="C25" s="4">
        <v>39.0</v>
      </c>
    </row>
    <row r="26" ht="22.5" customHeight="1">
      <c r="A26" s="5" t="s">
        <v>51</v>
      </c>
      <c r="B26" s="6" t="s">
        <v>52</v>
      </c>
      <c r="C26" s="7">
        <v>55.0</v>
      </c>
    </row>
    <row r="27" ht="22.5" customHeight="1">
      <c r="A27" s="12" t="s">
        <v>53</v>
      </c>
      <c r="B27" s="13" t="s">
        <v>54</v>
      </c>
      <c r="C27" s="9">
        <v>55.0</v>
      </c>
    </row>
    <row r="28" ht="22.5" customHeight="1">
      <c r="A28" s="12" t="s">
        <v>55</v>
      </c>
      <c r="B28" s="13" t="s">
        <v>56</v>
      </c>
      <c r="C28" s="9">
        <v>55.0</v>
      </c>
    </row>
    <row r="29" ht="22.5" customHeight="1">
      <c r="A29" s="12" t="s">
        <v>57</v>
      </c>
      <c r="B29" s="13" t="s">
        <v>58</v>
      </c>
      <c r="C29" s="9">
        <v>60.0</v>
      </c>
    </row>
    <row r="30" ht="22.5" customHeight="1">
      <c r="A30" s="12" t="s">
        <v>59</v>
      </c>
      <c r="B30" s="13" t="s">
        <v>60</v>
      </c>
      <c r="C30" s="9">
        <v>30.0</v>
      </c>
    </row>
    <row r="31" ht="22.5" customHeight="1">
      <c r="A31" s="12" t="s">
        <v>61</v>
      </c>
      <c r="B31" s="13" t="s">
        <v>62</v>
      </c>
      <c r="C31" s="9">
        <v>11.0</v>
      </c>
    </row>
    <row r="32" ht="22.5" customHeight="1">
      <c r="A32" s="12" t="s">
        <v>63</v>
      </c>
      <c r="B32" s="13" t="s">
        <v>64</v>
      </c>
      <c r="C32" s="9">
        <v>15.0</v>
      </c>
    </row>
    <row r="33" ht="22.5" customHeight="1">
      <c r="A33" s="12" t="s">
        <v>65</v>
      </c>
      <c r="B33" s="13" t="s">
        <v>66</v>
      </c>
      <c r="C33" s="9">
        <v>44.0</v>
      </c>
    </row>
    <row r="34" ht="22.5" customHeight="1">
      <c r="A34" s="12" t="s">
        <v>67</v>
      </c>
      <c r="B34" s="13" t="s">
        <v>68</v>
      </c>
      <c r="C34" s="9">
        <v>35.0</v>
      </c>
    </row>
    <row r="35" ht="22.5" customHeight="1">
      <c r="A35" s="12" t="s">
        <v>69</v>
      </c>
      <c r="B35" s="13" t="s">
        <v>70</v>
      </c>
      <c r="C35" s="9">
        <v>40.0</v>
      </c>
    </row>
    <row r="36" ht="22.5" customHeight="1">
      <c r="A36" s="12" t="s">
        <v>71</v>
      </c>
      <c r="B36" s="13" t="s">
        <v>72</v>
      </c>
      <c r="C36" s="9">
        <v>20.0</v>
      </c>
    </row>
    <row r="37" ht="22.5" customHeight="1">
      <c r="A37" s="12" t="s">
        <v>73</v>
      </c>
      <c r="B37" s="13" t="s">
        <v>74</v>
      </c>
      <c r="C37" s="9">
        <v>11.0</v>
      </c>
    </row>
    <row r="38" ht="22.5" customHeight="1">
      <c r="A38" s="2" t="s">
        <v>75</v>
      </c>
      <c r="B38" s="3" t="s">
        <v>76</v>
      </c>
      <c r="C38" s="4">
        <v>10.0</v>
      </c>
    </row>
    <row r="39" ht="22.5" customHeight="1">
      <c r="A39" s="5" t="s">
        <v>77</v>
      </c>
      <c r="B39" s="6" t="s">
        <v>78</v>
      </c>
      <c r="C39" s="7">
        <v>10.0</v>
      </c>
    </row>
    <row r="40" ht="22.5" customHeight="1">
      <c r="A40" s="2" t="s">
        <v>79</v>
      </c>
      <c r="B40" s="3" t="s">
        <v>80</v>
      </c>
      <c r="C40" s="4">
        <v>20.0</v>
      </c>
    </row>
    <row r="41" ht="22.5" customHeight="1">
      <c r="A41" s="10" t="s">
        <v>81</v>
      </c>
      <c r="B41" s="11" t="s">
        <v>82</v>
      </c>
      <c r="C41" s="8">
        <v>5.0</v>
      </c>
    </row>
    <row r="42" ht="22.5" customHeight="1">
      <c r="A42" s="5" t="s">
        <v>83</v>
      </c>
      <c r="B42" s="6" t="s">
        <v>84</v>
      </c>
      <c r="C42" s="7">
        <v>4.0</v>
      </c>
    </row>
    <row r="43" ht="22.5" customHeight="1">
      <c r="A43" s="2" t="s">
        <v>85</v>
      </c>
      <c r="B43" s="3" t="s">
        <v>86</v>
      </c>
      <c r="C43" s="4">
        <v>1.0</v>
      </c>
    </row>
    <row r="44" ht="22.5" customHeight="1">
      <c r="A44" s="5" t="s">
        <v>87</v>
      </c>
      <c r="B44" s="6" t="s">
        <v>88</v>
      </c>
      <c r="C44" s="9">
        <v>16.0</v>
      </c>
    </row>
    <row r="45" ht="22.5" customHeight="1">
      <c r="A45" s="2" t="s">
        <v>89</v>
      </c>
      <c r="B45" s="3" t="s">
        <v>90</v>
      </c>
      <c r="C45" s="8">
        <v>19.0</v>
      </c>
    </row>
    <row r="46" ht="22.5" customHeight="1">
      <c r="A46" s="5" t="s">
        <v>91</v>
      </c>
      <c r="B46" s="6" t="s">
        <v>92</v>
      </c>
      <c r="C46" s="7">
        <v>10.0</v>
      </c>
    </row>
    <row r="47" ht="22.5" customHeight="1">
      <c r="A47" s="2" t="s">
        <v>93</v>
      </c>
      <c r="B47" s="3" t="s">
        <v>94</v>
      </c>
      <c r="C47" s="4">
        <v>5.0</v>
      </c>
    </row>
    <row r="48" ht="22.5" customHeight="1">
      <c r="A48" s="14" t="s">
        <v>95</v>
      </c>
      <c r="B48" s="15" t="s">
        <v>96</v>
      </c>
      <c r="C48" s="16" t="s">
        <v>97</v>
      </c>
    </row>
    <row r="49" ht="22.5" customHeight="1">
      <c r="A49" s="17" t="s">
        <v>98</v>
      </c>
      <c r="B49" s="15" t="s">
        <v>99</v>
      </c>
      <c r="C49" s="16" t="s">
        <v>97</v>
      </c>
    </row>
    <row r="50" ht="22.5" customHeight="1">
      <c r="A50" s="14" t="s">
        <v>100</v>
      </c>
      <c r="B50" s="15" t="s">
        <v>101</v>
      </c>
      <c r="C50" s="16" t="s">
        <v>97</v>
      </c>
    </row>
    <row r="51" ht="22.5" customHeight="1">
      <c r="A51" s="17" t="s">
        <v>102</v>
      </c>
      <c r="B51" s="15" t="s">
        <v>103</v>
      </c>
      <c r="C51" s="16" t="s">
        <v>97</v>
      </c>
    </row>
    <row r="52" ht="22.5" customHeight="1">
      <c r="A52" s="14" t="s">
        <v>104</v>
      </c>
      <c r="B52" s="15" t="s">
        <v>105</v>
      </c>
      <c r="C52" s="16" t="s">
        <v>97</v>
      </c>
    </row>
    <row r="53" ht="22.5" customHeight="1">
      <c r="A53" s="17" t="s">
        <v>106</v>
      </c>
      <c r="B53" s="15" t="s">
        <v>107</v>
      </c>
      <c r="C53" s="16" t="s">
        <v>97</v>
      </c>
    </row>
    <row r="54" ht="22.5" customHeight="1">
      <c r="A54" s="14" t="s">
        <v>108</v>
      </c>
      <c r="B54" s="15" t="s">
        <v>109</v>
      </c>
      <c r="C54" s="16" t="s">
        <v>97</v>
      </c>
    </row>
    <row r="55" ht="22.5" customHeight="1">
      <c r="A55" s="17" t="s">
        <v>110</v>
      </c>
      <c r="B55" s="15" t="s">
        <v>111</v>
      </c>
      <c r="C55" s="16" t="s">
        <v>97</v>
      </c>
    </row>
    <row r="56" ht="22.5" customHeight="1">
      <c r="A56" s="14" t="s">
        <v>112</v>
      </c>
      <c r="B56" s="15" t="s">
        <v>113</v>
      </c>
      <c r="C56" s="16" t="s">
        <v>97</v>
      </c>
    </row>
    <row r="57" ht="22.5" customHeight="1">
      <c r="A57" s="17" t="s">
        <v>114</v>
      </c>
      <c r="B57" s="15" t="s">
        <v>115</v>
      </c>
      <c r="C57" s="16" t="s">
        <v>97</v>
      </c>
    </row>
    <row r="58" ht="22.5" customHeight="1">
      <c r="A58" s="14" t="s">
        <v>116</v>
      </c>
      <c r="B58" s="15" t="s">
        <v>117</v>
      </c>
      <c r="C58" s="16" t="s">
        <v>97</v>
      </c>
    </row>
    <row r="59" ht="22.5" customHeight="1">
      <c r="A59" s="17" t="s">
        <v>118</v>
      </c>
      <c r="B59" s="15" t="s">
        <v>119</v>
      </c>
      <c r="C59" s="16" t="s">
        <v>97</v>
      </c>
    </row>
    <row r="60" ht="22.5" customHeight="1">
      <c r="A60" s="14" t="s">
        <v>120</v>
      </c>
      <c r="B60" s="15" t="s">
        <v>121</v>
      </c>
      <c r="C60" s="16" t="s">
        <v>97</v>
      </c>
    </row>
    <row r="61" ht="22.5" customHeight="1">
      <c r="A61" s="14" t="s">
        <v>122</v>
      </c>
      <c r="B61" s="15" t="s">
        <v>123</v>
      </c>
      <c r="C61" s="16" t="s">
        <v>97</v>
      </c>
    </row>
    <row r="62" ht="22.5" customHeight="1">
      <c r="A62" s="17" t="s">
        <v>124</v>
      </c>
      <c r="B62" s="15" t="s">
        <v>125</v>
      </c>
      <c r="C62" s="16" t="s">
        <v>97</v>
      </c>
    </row>
    <row r="63" ht="22.5" customHeight="1">
      <c r="A63" s="14" t="s">
        <v>126</v>
      </c>
      <c r="B63" s="15" t="s">
        <v>127</v>
      </c>
      <c r="C63" s="16" t="s">
        <v>97</v>
      </c>
    </row>
    <row r="64" ht="22.5" customHeight="1">
      <c r="A64" s="17" t="s">
        <v>128</v>
      </c>
      <c r="B64" s="15" t="s">
        <v>129</v>
      </c>
      <c r="C64" s="16" t="s">
        <v>97</v>
      </c>
    </row>
    <row r="65" ht="22.5" customHeight="1">
      <c r="A65" s="14" t="s">
        <v>130</v>
      </c>
      <c r="B65" s="15" t="s">
        <v>131</v>
      </c>
      <c r="C65" s="16" t="s">
        <v>97</v>
      </c>
    </row>
    <row r="66" ht="22.5" customHeight="1">
      <c r="A66" s="17" t="s">
        <v>132</v>
      </c>
      <c r="B66" s="15" t="s">
        <v>133</v>
      </c>
      <c r="C66" s="16" t="s">
        <v>97</v>
      </c>
    </row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</sheetData>
  <dataValidations>
    <dataValidation type="custom" allowBlank="1" showDropDown="1" sqref="C2:C66">
      <formula1/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G1" s="20"/>
      <c r="H1" s="21" t="s">
        <v>140</v>
      </c>
      <c r="I1" s="21">
        <v>1200.0</v>
      </c>
    </row>
    <row r="2" ht="15.75" customHeight="1">
      <c r="A2" s="22">
        <v>1.0</v>
      </c>
      <c r="B2" s="23" t="s">
        <v>99</v>
      </c>
      <c r="C2" s="24" t="str">
        <f t="array" ref="C2">IF(B2="","",IFERROR(INDEX(BD_PT!$A$2:$A$66,MATCH(B2,BD_PT!$B$2:$B$66,0)),""))</f>
        <v>AC2T5</v>
      </c>
      <c r="D2" s="22">
        <v>145.0</v>
      </c>
      <c r="E2" s="24"/>
      <c r="F2" s="22" t="s">
        <v>141</v>
      </c>
      <c r="H2" s="21" t="s">
        <v>142</v>
      </c>
      <c r="I2" s="21">
        <v>965.0</v>
      </c>
    </row>
    <row r="3" ht="15.75" customHeight="1">
      <c r="A3" s="22">
        <v>1.0</v>
      </c>
      <c r="B3" s="22" t="s">
        <v>4</v>
      </c>
      <c r="C3" s="24" t="str">
        <f t="array" ref="C3">IF(B3="","",IFERROR(INDEX(BD_PT!$A$2:$A$66,MATCH(B3,BD_PT!$B$2:$B$66,0)),""))</f>
        <v>FRES-01</v>
      </c>
      <c r="D3" s="24">
        <f t="array" ref="D3">IF(B3="","",IFERROR(INDEX(BD_PT!$C$2:$C$66,MATCH(B3,BD_PT!$B$2:$B$66,0))*IF(A3="",1,A3),""))</f>
        <v>46</v>
      </c>
      <c r="E3" s="24"/>
      <c r="F3" s="24"/>
      <c r="H3" s="21" t="s">
        <v>143</v>
      </c>
      <c r="I3" s="25">
        <f>139.11+178.45</f>
        <v>317.56</v>
      </c>
    </row>
    <row r="4" ht="15.75" customHeight="1">
      <c r="A4" s="22">
        <v>1.0</v>
      </c>
      <c r="B4" s="22" t="s">
        <v>144</v>
      </c>
      <c r="C4" s="24" t="str">
        <f t="array" ref="C4">IF(B4="","",IFERROR(INDEX(BD_PT!$A$2:$A$66,MATCH(B4,BD_PT!$B$2:$B$66,0)),""))</f>
        <v/>
      </c>
      <c r="D4" s="22">
        <v>50.0</v>
      </c>
      <c r="E4" s="24"/>
      <c r="F4" s="24"/>
    </row>
    <row r="5" ht="15.75" customHeight="1">
      <c r="A5" s="22">
        <v>1.0</v>
      </c>
      <c r="B5" s="22" t="s">
        <v>6</v>
      </c>
      <c r="C5" s="24" t="str">
        <f t="array" ref="C5">IF(B5="","",IFERROR(INDEX(BD_PT!$A$2:$A$66,MATCH(B5,BD_PT!$B$2:$B$66,0)),""))</f>
        <v>FRES-02</v>
      </c>
      <c r="D5" s="24">
        <f t="array" ref="D5">IF(B5="","",IFERROR(INDEX(BD_PT!$C$2:$C$66,MATCH(B5,BD_PT!$B$2:$B$66,0))*IF(A5="",1,A5),""))</f>
        <v>69</v>
      </c>
      <c r="E5" s="24"/>
      <c r="F5" s="24"/>
    </row>
    <row r="6" ht="15.75" customHeight="1">
      <c r="A6" s="22">
        <v>1.0</v>
      </c>
      <c r="B6" s="22" t="s">
        <v>115</v>
      </c>
      <c r="C6" s="24" t="str">
        <f t="array" ref="C6">IF(B6="","",IFERROR(INDEX(BD_PT!$A$2:$A$66,MATCH(B6,BD_PT!$B$2:$B$66,0)),""))</f>
        <v>OL2</v>
      </c>
      <c r="D6" s="22">
        <v>180.0</v>
      </c>
      <c r="E6" s="24"/>
      <c r="F6" s="22" t="s">
        <v>145</v>
      </c>
    </row>
    <row r="7" ht="15.75" customHeight="1">
      <c r="A7" s="22">
        <v>1.0</v>
      </c>
      <c r="B7" s="22" t="s">
        <v>146</v>
      </c>
      <c r="C7" s="24" t="str">
        <f t="array" ref="C7">IF(B7="","",IFERROR(INDEX(BD_PT!$A$2:$A$66,MATCH(B7,BD_PT!$B$2:$B$66,0)),""))</f>
        <v/>
      </c>
      <c r="D7" s="22">
        <f>145*0.9567</f>
        <v>138.7215</v>
      </c>
      <c r="E7" s="22">
        <v>145.0</v>
      </c>
      <c r="F7" s="22" t="s">
        <v>147</v>
      </c>
    </row>
    <row r="8" ht="15.75" customHeight="1">
      <c r="A8" s="22">
        <v>1.0</v>
      </c>
      <c r="B8" s="22" t="s">
        <v>6</v>
      </c>
      <c r="C8" s="24" t="str">
        <f t="array" ref="C8">IF(B8="","",IFERROR(INDEX(BD_PT!$A$2:$A$66,MATCH(B8,BD_PT!$B$2:$B$66,0)),""))</f>
        <v>FRES-02</v>
      </c>
      <c r="D8" s="24">
        <f t="array" ref="D8">IF(B8="","",IFERROR(INDEX(BD_PT!$C$2:$C$66,MATCH(B8,BD_PT!$B$2:$B$66,0))*IF(A8="",1,A8),""))</f>
        <v>69</v>
      </c>
      <c r="E8" s="24"/>
      <c r="F8" s="24"/>
    </row>
    <row r="9" ht="15.75" customHeight="1">
      <c r="A9" s="22">
        <v>1.0</v>
      </c>
      <c r="B9" s="22" t="s">
        <v>6</v>
      </c>
      <c r="C9" s="24" t="str">
        <f t="array" ref="C9">IF(B9="","",IFERROR(INDEX(BD_PT!$A$2:$A$66,MATCH(B9,BD_PT!$B$2:$B$66,0)),""))</f>
        <v>FRES-02</v>
      </c>
      <c r="D9" s="24">
        <f t="array" ref="D9">IF(B9="","",IFERROR(INDEX(BD_PT!$C$2:$C$66,MATCH(B9,BD_PT!$B$2:$B$66,0))*IF(A9="",1,A9),""))</f>
        <v>69</v>
      </c>
      <c r="E9" s="24"/>
      <c r="F9" s="24"/>
    </row>
    <row r="10" ht="15.75" customHeight="1">
      <c r="A10" s="22">
        <v>1.0</v>
      </c>
      <c r="B10" s="22" t="s">
        <v>34</v>
      </c>
      <c r="C10" s="24" t="str">
        <f t="array" ref="C10">IF(B10="","",IFERROR(INDEX(BD_PT!$A$2:$A$66,MATCH(B10,BD_PT!$B$2:$B$66,0)),""))</f>
        <v>FRES-16</v>
      </c>
      <c r="D10" s="24">
        <f t="array" ref="D10">IF(B10="","",IFERROR(INDEX(BD_PT!$C$2:$C$66,MATCH(B10,BD_PT!$B$2:$B$66,0))*IF(A10="",1,A10),""))</f>
        <v>96</v>
      </c>
      <c r="E10" s="24"/>
      <c r="F10" s="24"/>
    </row>
    <row r="11" ht="15.75" customHeight="1">
      <c r="A11" s="22">
        <v>1.0</v>
      </c>
      <c r="B11" s="22" t="s">
        <v>101</v>
      </c>
      <c r="C11" s="24" t="str">
        <f t="array" ref="C11">IF(B11="","",IFERROR(INDEX(BD_PT!$A$2:$A$66,MATCH(B11,BD_PT!$B$2:$B$66,0)),""))</f>
        <v>AC3</v>
      </c>
      <c r="D11" s="22">
        <v>15.0</v>
      </c>
      <c r="E11" s="24"/>
      <c r="F11" s="22" t="s">
        <v>148</v>
      </c>
    </row>
    <row r="12" ht="15.75" customHeight="1">
      <c r="A12" s="22">
        <v>3.0</v>
      </c>
      <c r="B12" s="22" t="s">
        <v>4</v>
      </c>
      <c r="C12" s="24" t="str">
        <f t="array" ref="C12">IF(B12="","",IFERROR(INDEX(BD_PT!$A$2:$A$66,MATCH(B12,BD_PT!$B$2:$B$66,0)),""))</f>
        <v>FRES-01</v>
      </c>
      <c r="D12" s="24">
        <f>138*0.9567</f>
        <v>132.0246</v>
      </c>
      <c r="E12" s="24"/>
      <c r="F12" s="22" t="s">
        <v>147</v>
      </c>
    </row>
    <row r="13" ht="15.75" customHeight="1">
      <c r="A13" s="22">
        <v>3.0</v>
      </c>
      <c r="B13" s="22" t="s">
        <v>88</v>
      </c>
      <c r="C13" s="24" t="str">
        <f t="array" ref="C13">IF(B13="","",IFERROR(INDEX(BD_PT!$A$2:$A$66,MATCH(B13,BD_PT!$B$2:$B$66,0)),""))</f>
        <v>TOPP-05CHO</v>
      </c>
      <c r="D13" s="24">
        <f>48*0.9567</f>
        <v>45.9216</v>
      </c>
      <c r="E13" s="24"/>
      <c r="F13" s="22" t="s">
        <v>147</v>
      </c>
    </row>
    <row r="14" ht="15.75" customHeight="1">
      <c r="A14" s="22">
        <v>1.0</v>
      </c>
      <c r="B14" s="22" t="s">
        <v>101</v>
      </c>
      <c r="C14" s="24" t="str">
        <f t="array" ref="C14">IF(B14="","",IFERROR(INDEX(BD_PT!$A$2:$A$66,MATCH(B14,BD_PT!$B$2:$B$66,0)),""))</f>
        <v>AC3</v>
      </c>
      <c r="D14" s="22">
        <v>15.0</v>
      </c>
      <c r="E14" s="24"/>
      <c r="F14" s="22" t="s">
        <v>149</v>
      </c>
    </row>
    <row r="15" ht="15.75" customHeight="1">
      <c r="A15" s="22">
        <v>1.0</v>
      </c>
      <c r="B15" s="22" t="s">
        <v>4</v>
      </c>
      <c r="C15" s="24" t="str">
        <f t="array" ref="C15">IF(B15="","",IFERROR(INDEX(BD_PT!$A$2:$A$66,MATCH(B15,BD_PT!$B$2:$B$66,0)),""))</f>
        <v>FRES-01</v>
      </c>
      <c r="D15" s="24">
        <f t="array" ref="D15">IF(B15="","",IFERROR(INDEX(BD_PT!$C$2:$C$66,MATCH(B15,BD_PT!$B$2:$B$66,0))*IF(A15="",1,A15),""))</f>
        <v>46</v>
      </c>
      <c r="E15" s="24"/>
      <c r="F15" s="24"/>
    </row>
    <row r="16" ht="15.75" customHeight="1">
      <c r="A16" s="22">
        <v>1.0</v>
      </c>
      <c r="B16" s="22" t="s">
        <v>54</v>
      </c>
      <c r="C16" s="24" t="str">
        <f t="array" ref="C16">IF(B16="","",IFERROR(INDEX(BD_PT!$A$2:$A$66,MATCH(B16,BD_PT!$B$2:$B$66,0)),""))</f>
        <v>POST-01</v>
      </c>
      <c r="D16" s="22">
        <v>50.0</v>
      </c>
      <c r="E16" s="24"/>
      <c r="F16" s="24"/>
    </row>
    <row r="17" ht="15.75" customHeight="1">
      <c r="A17" s="22">
        <v>1.0</v>
      </c>
      <c r="B17" s="22" t="s">
        <v>54</v>
      </c>
      <c r="C17" s="24" t="str">
        <f t="array" ref="C17">IF(B17="","",IFERROR(INDEX(BD_PT!$A$2:$A$66,MATCH(B17,BD_PT!$B$2:$B$66,0)),""))</f>
        <v>POST-01</v>
      </c>
      <c r="D17" s="22">
        <v>55.0</v>
      </c>
      <c r="E17" s="24"/>
      <c r="F17" s="24"/>
    </row>
    <row r="18" ht="15.75" customHeight="1">
      <c r="A18" s="22">
        <v>1.0</v>
      </c>
      <c r="B18" s="22" t="s">
        <v>58</v>
      </c>
      <c r="C18" s="24" t="str">
        <f t="array" ref="C18">IF(B18="","",IFERROR(INDEX(BD_PT!$A$2:$A$66,MATCH(B18,BD_PT!$B$2:$B$66,0)),""))</f>
        <v>POSRT-03</v>
      </c>
      <c r="D18" s="22">
        <v>60.0</v>
      </c>
      <c r="E18" s="24"/>
      <c r="F18" s="24"/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  <col customWidth="1" min="6" max="6" width="16.75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G1" s="20"/>
      <c r="H1" s="27" t="s">
        <v>140</v>
      </c>
      <c r="I1" s="27">
        <v>1165.0</v>
      </c>
    </row>
    <row r="2" ht="15.75" customHeight="1">
      <c r="A2" s="22">
        <v>1.0</v>
      </c>
      <c r="B2" s="23" t="s">
        <v>101</v>
      </c>
      <c r="C2" s="24" t="str">
        <f t="array" ref="C2">IF(B2="","",IFERROR(INDEX(BD_PT!$A$2:$A$66,MATCH(B2,BD_PT!$B$2:$B$66,0)),""))</f>
        <v>AC3</v>
      </c>
      <c r="D2" s="22">
        <v>75.0</v>
      </c>
      <c r="E2" s="24"/>
      <c r="F2" s="22" t="s">
        <v>150</v>
      </c>
      <c r="H2" s="27" t="s">
        <v>151</v>
      </c>
      <c r="I2" s="28"/>
    </row>
    <row r="3" ht="15.75" customHeight="1">
      <c r="A3" s="22">
        <v>1.0</v>
      </c>
      <c r="B3" s="22" t="s">
        <v>131</v>
      </c>
      <c r="C3" s="24" t="str">
        <f t="array" ref="C3">IF(B3="","",IFERROR(INDEX(BD_PT!$A$2:$A$66,MATCH(B3,BD_PT!$B$2:$B$66,0)),""))</f>
        <v>PT2.5</v>
      </c>
      <c r="D3" s="22">
        <v>172.0</v>
      </c>
      <c r="E3" s="24"/>
      <c r="F3" s="22" t="s">
        <v>152</v>
      </c>
      <c r="H3" s="27" t="s">
        <v>147</v>
      </c>
      <c r="I3" s="28"/>
    </row>
    <row r="4" ht="15.75" customHeight="1">
      <c r="A4" s="22">
        <v>1.0</v>
      </c>
      <c r="B4" s="22" t="s">
        <v>99</v>
      </c>
      <c r="C4" s="24" t="str">
        <f t="array" ref="C4">IF(B4="","",IFERROR(INDEX(BD_PT!$A$2:$A$66,MATCH(B4,BD_PT!$B$2:$B$66,0)),""))</f>
        <v>AC2T5</v>
      </c>
      <c r="D4" s="22">
        <v>245.0</v>
      </c>
      <c r="E4" s="24"/>
      <c r="F4" s="22" t="s">
        <v>153</v>
      </c>
    </row>
    <row r="5" ht="15.75" customHeight="1">
      <c r="A5" s="22">
        <v>1.0</v>
      </c>
      <c r="B5" s="22" t="s">
        <v>6</v>
      </c>
      <c r="C5" s="24" t="str">
        <f t="array" ref="C5">IF(B5="","",IFERROR(INDEX(BD_PT!$A$2:$A$66,MATCH(B5,BD_PT!$B$2:$B$66,0)),""))</f>
        <v>FRES-02</v>
      </c>
      <c r="D5" s="24">
        <f t="array" ref="D5">IF(B5="","",IFERROR(INDEX(BD_PT!$C$2:$C$66,MATCH(B5,BD_PT!$B$2:$B$66,0))*IF(A5="",1,A5),""))</f>
        <v>69</v>
      </c>
      <c r="E5" s="24"/>
      <c r="F5" s="24"/>
    </row>
    <row r="6" ht="15.75" customHeight="1">
      <c r="A6" s="22">
        <v>1.0</v>
      </c>
      <c r="B6" s="22" t="s">
        <v>76</v>
      </c>
      <c r="C6" s="24" t="str">
        <f t="array" ref="C6">IF(B6="","",IFERROR(INDEX(BD_PT!$A$2:$A$66,MATCH(B6,BD_PT!$B$2:$B$66,0)),""))</f>
        <v>EXTR-01</v>
      </c>
      <c r="D6" s="24">
        <f t="array" ref="D6">IF(B6="","",IFERROR(INDEX(BD_PT!$C$2:$C$66,MATCH(B6,BD_PT!$B$2:$B$66,0))*IF(A6="",1,A6),""))</f>
        <v>10</v>
      </c>
      <c r="E6" s="24"/>
      <c r="F6" s="22" t="s">
        <v>154</v>
      </c>
    </row>
    <row r="7" ht="15.75" customHeight="1">
      <c r="A7" s="22">
        <v>1.0</v>
      </c>
      <c r="B7" s="22" t="s">
        <v>76</v>
      </c>
      <c r="C7" s="24" t="str">
        <f t="array" ref="C7">IF(B7="","",IFERROR(INDEX(BD_PT!$A$2:$A$66,MATCH(B7,BD_PT!$B$2:$B$66,0)),""))</f>
        <v>EXTR-01</v>
      </c>
      <c r="D7" s="24">
        <f t="array" ref="D7">IF(B7="","",IFERROR(INDEX(BD_PT!$C$2:$C$66,MATCH(B7,BD_PT!$B$2:$B$66,0))*IF(A7="",1,A7),""))</f>
        <v>10</v>
      </c>
      <c r="E7" s="24"/>
      <c r="F7" s="22" t="s">
        <v>155</v>
      </c>
    </row>
    <row r="8" ht="15.75" customHeight="1">
      <c r="A8" s="22">
        <v>1.0</v>
      </c>
      <c r="B8" s="22" t="s">
        <v>50</v>
      </c>
      <c r="C8" s="24" t="str">
        <f t="array" ref="C8">IF(B8="","",IFERROR(INDEX(BD_PT!$A$2:$A$66,MATCH(B8,BD_PT!$B$2:$B$66,0)),""))</f>
        <v>GALL-04</v>
      </c>
      <c r="D8" s="24">
        <f t="array" ref="D8">IF(B8="","",IFERROR(INDEX(BD_PT!$C$2:$C$66,MATCH(B8,BD_PT!$B$2:$B$66,0))*IF(A8="",1,A8),""))</f>
        <v>39</v>
      </c>
      <c r="E8" s="24"/>
      <c r="F8" s="24"/>
    </row>
    <row r="9" ht="15.75" customHeight="1">
      <c r="A9" s="22">
        <v>1.0</v>
      </c>
      <c r="B9" s="22" t="s">
        <v>44</v>
      </c>
      <c r="C9" s="24" t="str">
        <f t="array" ref="C9">IF(B9="","",IFERROR(INDEX(BD_PT!$A$2:$A$66,MATCH(B9,BD_PT!$B$2:$B$66,0)),""))</f>
        <v>GALL-01</v>
      </c>
      <c r="D9" s="22">
        <v>0.0</v>
      </c>
      <c r="E9" s="22">
        <v>39.0</v>
      </c>
      <c r="F9" s="22" t="s">
        <v>156</v>
      </c>
    </row>
    <row r="10" ht="15.75" customHeight="1">
      <c r="A10" s="22">
        <v>1.0</v>
      </c>
      <c r="B10" s="22" t="s">
        <v>44</v>
      </c>
      <c r="C10" s="24" t="str">
        <f t="array" ref="C10">IF(B10="","",IFERROR(INDEX(BD_PT!$A$2:$A$66,MATCH(B10,BD_PT!$B$2:$B$66,0)),""))</f>
        <v>GALL-01</v>
      </c>
      <c r="D10" s="24">
        <f t="array" ref="D10">IF(B10="","",IFERROR(INDEX(BD_PT!$C$2:$C$66,MATCH(B10,BD_PT!$B$2:$B$66,0))*IF(A10="",1,A10),""))</f>
        <v>39</v>
      </c>
      <c r="E10" s="24"/>
      <c r="F10" s="24"/>
    </row>
    <row r="11" ht="15.75" customHeight="1">
      <c r="A11" s="22">
        <v>1.0</v>
      </c>
      <c r="B11" s="22" t="s">
        <v>48</v>
      </c>
      <c r="C11" s="24" t="str">
        <f t="array" ref="C11">IF(B11="","",IFERROR(INDEX(BD_PT!$A$2:$A$66,MATCH(B11,BD_PT!$B$2:$B$66,0)),""))</f>
        <v>GALL-03</v>
      </c>
      <c r="D11" s="22">
        <v>0.0</v>
      </c>
      <c r="E11" s="22">
        <v>39.0</v>
      </c>
      <c r="F11" s="22" t="s">
        <v>156</v>
      </c>
    </row>
    <row r="12" ht="15.75" customHeight="1">
      <c r="A12" s="22">
        <v>1.0</v>
      </c>
      <c r="B12" s="22" t="s">
        <v>157</v>
      </c>
      <c r="C12" s="24" t="str">
        <f t="array" ref="C12">IF(B12="","",IFERROR(INDEX(BD_PT!$A$2:$A$66,MATCH(B12,BD_PT!$B$2:$B$66,0)),""))</f>
        <v/>
      </c>
      <c r="D12" s="22">
        <v>125.0</v>
      </c>
      <c r="E12" s="24"/>
      <c r="F12" s="24"/>
    </row>
    <row r="13" ht="15.75" customHeight="1">
      <c r="A13" s="22">
        <v>1.0</v>
      </c>
      <c r="B13" s="22" t="s">
        <v>76</v>
      </c>
      <c r="C13" s="24" t="str">
        <f t="array" ref="C13">IF(B13="","",IFERROR(INDEX(BD_PT!$A$2:$A$66,MATCH(B13,BD_PT!$B$2:$B$66,0)),""))</f>
        <v>EXTR-01</v>
      </c>
      <c r="D13" s="24">
        <f t="array" ref="D13">IF(B13="","",IFERROR(INDEX(BD_PT!$C$2:$C$66,MATCH(B13,BD_PT!$B$2:$B$66,0))*IF(A13="",1,A13),""))</f>
        <v>10</v>
      </c>
      <c r="E13" s="24"/>
      <c r="F13" s="22" t="s">
        <v>155</v>
      </c>
    </row>
    <row r="14" ht="15.75" customHeight="1">
      <c r="A14" s="22">
        <v>1.0</v>
      </c>
      <c r="B14" s="22" t="s">
        <v>8</v>
      </c>
      <c r="C14" s="24" t="str">
        <f t="array" ref="C14">IF(B14="","",IFERROR(INDEX(BD_PT!$A$2:$A$66,MATCH(B14,BD_PT!$B$2:$B$66,0)),""))</f>
        <v>FRES-03</v>
      </c>
      <c r="D14" s="24">
        <f t="array" ref="D14">IF(B14="","",IFERROR(INDEX(BD_PT!$C$2:$C$66,MATCH(B14,BD_PT!$B$2:$B$66,0))*IF(A14="",1,A14),""))</f>
        <v>89</v>
      </c>
      <c r="E14" s="24"/>
      <c r="F14" s="24"/>
    </row>
    <row r="15" ht="15.75" customHeight="1">
      <c r="A15" s="22">
        <v>1.0</v>
      </c>
      <c r="B15" s="22" t="s">
        <v>8</v>
      </c>
      <c r="C15" s="24" t="str">
        <f t="array" ref="C15">IF(B15="","",IFERROR(INDEX(BD_PT!$A$2:$A$66,MATCH(B15,BD_PT!$B$2:$B$66,0)),""))</f>
        <v>FRES-03</v>
      </c>
      <c r="D15" s="24">
        <f t="array" ref="D15">IF(B15="","",IFERROR(INDEX(BD_PT!$C$2:$C$66,MATCH(B15,BD_PT!$B$2:$B$66,0))*IF(A15="",1,A15),""))</f>
        <v>89</v>
      </c>
      <c r="E15" s="24"/>
      <c r="F15" s="24"/>
    </row>
    <row r="16" ht="15.75" customHeight="1">
      <c r="A16" s="22">
        <v>1.0</v>
      </c>
      <c r="B16" s="22" t="s">
        <v>8</v>
      </c>
      <c r="C16" s="24" t="str">
        <f t="array" ref="C16">IF(B16="","",IFERROR(INDEX(BD_PT!$A$2:$A$66,MATCH(B16,BD_PT!$B$2:$B$66,0)),""))</f>
        <v>FRES-03</v>
      </c>
      <c r="D16" s="24">
        <f t="array" ref="D16">IF(B16="","",IFERROR(INDEX(BD_PT!$C$2:$C$66,MATCH(B16,BD_PT!$B$2:$B$66,0))*IF(A16="",1,A16),""))</f>
        <v>89</v>
      </c>
      <c r="E16" s="24"/>
      <c r="F16" s="24"/>
    </row>
    <row r="17" ht="15.75" customHeight="1">
      <c r="A17" s="22">
        <v>1.0</v>
      </c>
      <c r="B17" s="22" t="s">
        <v>158</v>
      </c>
      <c r="C17" s="24" t="str">
        <f t="array" ref="C17">IF(B17="","",IFERROR(INDEX(BD_PT!$A$2:$A$66,MATCH(B17,BD_PT!$B$2:$B$66,0)),""))</f>
        <v/>
      </c>
      <c r="D17" s="22">
        <v>145.0</v>
      </c>
      <c r="E17" s="24"/>
      <c r="F17" s="24"/>
    </row>
    <row r="18" ht="15.75" customHeight="1">
      <c r="A18" s="22">
        <v>1.0</v>
      </c>
      <c r="B18" s="22" t="s">
        <v>159</v>
      </c>
      <c r="C18" s="24" t="str">
        <f t="array" ref="C18">IF(B18="","",IFERROR(INDEX(BD_PT!$A$2:$A$66,MATCH(B18,BD_PT!$B$2:$B$66,0)),""))</f>
        <v/>
      </c>
      <c r="D18" s="22">
        <v>145.0</v>
      </c>
      <c r="E18" s="24"/>
      <c r="F18" s="24"/>
    </row>
    <row r="19" ht="15.75" customHeight="1">
      <c r="A19" s="22">
        <v>1.0</v>
      </c>
      <c r="B19" s="22" t="s">
        <v>48</v>
      </c>
      <c r="C19" s="24" t="str">
        <f t="array" ref="C19">IF(B19="","",IFERROR(INDEX(BD_PT!$A$2:$A$66,MATCH(B19,BD_PT!$B$2:$B$66,0)),""))</f>
        <v>GALL-03</v>
      </c>
      <c r="D19" s="24">
        <f t="array" ref="D19">IF(B19="","",IFERROR(INDEX(BD_PT!$C$2:$C$66,MATCH(B19,BD_PT!$B$2:$B$66,0))*IF(A19="",1,A19),""))</f>
        <v>39</v>
      </c>
      <c r="E19" s="24"/>
      <c r="F19" s="24"/>
    </row>
    <row r="20" ht="15.75" customHeight="1">
      <c r="A20" s="22">
        <v>1.0</v>
      </c>
      <c r="B20" s="22" t="s">
        <v>50</v>
      </c>
      <c r="C20" s="24" t="str">
        <f t="array" ref="C20">IF(B20="","",IFERROR(INDEX(BD_PT!$A$2:$A$66,MATCH(B20,BD_PT!$B$2:$B$66,0)),""))</f>
        <v>GALL-04</v>
      </c>
      <c r="D20" s="22">
        <v>0.0</v>
      </c>
      <c r="E20" s="22">
        <v>39.0</v>
      </c>
      <c r="F20" s="22" t="s">
        <v>160</v>
      </c>
    </row>
    <row r="21" ht="15.75" customHeight="1">
      <c r="A21" s="22">
        <v>1.0</v>
      </c>
      <c r="B21" s="22" t="s">
        <v>6</v>
      </c>
      <c r="C21" s="24" t="str">
        <f t="array" ref="C21">IF(B21="","",IFERROR(INDEX(BD_PT!$A$2:$A$66,MATCH(B21,BD_PT!$B$2:$B$66,0)),""))</f>
        <v>FRES-02</v>
      </c>
      <c r="D21" s="24">
        <f>69*0.9567</f>
        <v>66.0123</v>
      </c>
      <c r="E21" s="24"/>
      <c r="F21" s="22" t="s">
        <v>147</v>
      </c>
    </row>
    <row r="22" ht="15.75" customHeight="1">
      <c r="A22" s="22">
        <v>1.0</v>
      </c>
      <c r="B22" s="22" t="s">
        <v>159</v>
      </c>
      <c r="C22" s="24" t="str">
        <f t="array" ref="C22">IF(B22="","",IFERROR(INDEX(BD_PT!$A$2:$A$66,MATCH(B22,BD_PT!$B$2:$B$66,0)),""))</f>
        <v/>
      </c>
      <c r="D22" s="22">
        <f>145*0.9567</f>
        <v>138.7215</v>
      </c>
      <c r="E22" s="24"/>
      <c r="F22" s="22" t="s">
        <v>147</v>
      </c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13"/>
    <col customWidth="1" min="2" max="2" width="34.25"/>
    <col customWidth="1" min="3" max="3" width="14.13"/>
    <col customWidth="1" min="6" max="6" width="16.25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G1" s="20"/>
      <c r="H1" s="27" t="s">
        <v>140</v>
      </c>
      <c r="I1" s="27">
        <v>1165.0</v>
      </c>
    </row>
    <row r="2" ht="15.75" customHeight="1">
      <c r="A2" s="22">
        <v>1.0</v>
      </c>
      <c r="B2" s="23" t="s">
        <v>50</v>
      </c>
      <c r="C2" s="24" t="str">
        <f t="array" ref="C2">IF(B2="","",IFERROR(INDEX(BD_PT!$A$2:$A$66,MATCH(B2,BD_PT!$B$2:$B$66,0)),""))</f>
        <v>GALL-04</v>
      </c>
      <c r="D2" s="24">
        <f t="array" ref="D2">IF(B2="","",IFERROR(INDEX(BD_PT!$C$2:$C$66,MATCH(B2,BD_PT!$B$2:$B$66,0))*IF(A2="",1,A2),""))</f>
        <v>39</v>
      </c>
      <c r="E2" s="24"/>
      <c r="F2" s="24"/>
      <c r="H2" s="27" t="s">
        <v>151</v>
      </c>
      <c r="I2" s="27">
        <v>302.0</v>
      </c>
    </row>
    <row r="3" ht="15.75" customHeight="1">
      <c r="A3" s="22">
        <v>1.0</v>
      </c>
      <c r="B3" s="22" t="s">
        <v>4</v>
      </c>
      <c r="C3" s="24" t="str">
        <f t="array" ref="C3">IF(B3="","",IFERROR(INDEX(BD_PT!$A$2:$A$66,MATCH(B3,BD_PT!$B$2:$B$66,0)),""))</f>
        <v>FRES-01</v>
      </c>
      <c r="D3" s="24">
        <f t="array" ref="D3">IF(B3="","",IFERROR(INDEX(BD_PT!$C$2:$C$66,MATCH(B3,BD_PT!$B$2:$B$66,0))*IF(A3="",1,A3),""))</f>
        <v>46</v>
      </c>
      <c r="E3" s="24"/>
      <c r="F3" s="24"/>
      <c r="H3" s="27" t="s">
        <v>147</v>
      </c>
      <c r="I3" s="27">
        <v>66.2</v>
      </c>
    </row>
    <row r="4" ht="15.75" customHeight="1">
      <c r="A4" s="22">
        <v>2.0</v>
      </c>
      <c r="B4" s="22" t="s">
        <v>66</v>
      </c>
      <c r="C4" s="24" t="str">
        <f t="array" ref="C4">IF(B4="","",IFERROR(INDEX(BD_PT!$A$2:$A$66,MATCH(B4,BD_PT!$B$2:$B$66,0)),""))</f>
        <v>POST-07</v>
      </c>
      <c r="D4" s="22">
        <v>44.0</v>
      </c>
      <c r="E4" s="24"/>
      <c r="F4" s="22" t="s">
        <v>156</v>
      </c>
    </row>
    <row r="5" ht="15.75" customHeight="1">
      <c r="A5" s="22">
        <v>1.0</v>
      </c>
      <c r="B5" s="22" t="s">
        <v>4</v>
      </c>
      <c r="C5" s="24" t="str">
        <f t="array" ref="C5">IF(B5="","",IFERROR(INDEX(BD_PT!$A$2:$A$66,MATCH(B5,BD_PT!$B$2:$B$66,0)),""))</f>
        <v>FRES-01</v>
      </c>
      <c r="D5" s="24">
        <f t="array" ref="D5">IF(B5="","",IFERROR(INDEX(BD_PT!$C$2:$C$66,MATCH(B5,BD_PT!$B$2:$B$66,0))*IF(A5="",1,A5),""))</f>
        <v>46</v>
      </c>
      <c r="E5" s="24"/>
      <c r="F5" s="24"/>
    </row>
    <row r="6" ht="15.75" customHeight="1">
      <c r="A6" s="22">
        <v>2.0</v>
      </c>
      <c r="B6" s="22" t="s">
        <v>4</v>
      </c>
      <c r="C6" s="24" t="str">
        <f t="array" ref="C6">IF(B6="","",IFERROR(INDEX(BD_PT!$A$2:$A$66,MATCH(B6,BD_PT!$B$2:$B$66,0)),""))</f>
        <v>FRES-01</v>
      </c>
      <c r="D6" s="24">
        <f t="array" ref="D6">IF(B6="","",IFERROR(INDEX(BD_PT!$C$2:$C$66,MATCH(B6,BD_PT!$B$2:$B$66,0))*IF(A6="",1,A6),""))</f>
        <v>92</v>
      </c>
      <c r="E6" s="24"/>
      <c r="F6" s="24"/>
    </row>
    <row r="7" ht="15.75" customHeight="1">
      <c r="A7" s="22">
        <v>1.0</v>
      </c>
      <c r="B7" s="22" t="s">
        <v>6</v>
      </c>
      <c r="C7" s="24" t="str">
        <f t="array" ref="C7">IF(B7="","",IFERROR(INDEX(BD_PT!$A$2:$A$66,MATCH(B7,BD_PT!$B$2:$B$66,0)),""))</f>
        <v>FRES-02</v>
      </c>
      <c r="D7" s="24">
        <f>69*0.9567 </f>
        <v>66.0123</v>
      </c>
      <c r="E7" s="24"/>
      <c r="F7" s="22" t="s">
        <v>147</v>
      </c>
    </row>
    <row r="8" ht="15.75" customHeight="1">
      <c r="A8" s="22">
        <v>1.0</v>
      </c>
      <c r="B8" s="22" t="s">
        <v>6</v>
      </c>
      <c r="C8" s="24" t="str">
        <f t="array" ref="C8">IF(B8="","",IFERROR(INDEX(BD_PT!$A$2:$A$66,MATCH(B8,BD_PT!$B$2:$B$66,0)),""))</f>
        <v>FRES-02</v>
      </c>
      <c r="D8" s="24">
        <f t="array" ref="D8">IF(B8="","",IFERROR(INDEX(BD_PT!$C$2:$C$66,MATCH(B8,BD_PT!$B$2:$B$66,0))*IF(A8="",1,A8),""))</f>
        <v>69</v>
      </c>
      <c r="E8" s="24"/>
      <c r="F8" s="24"/>
    </row>
    <row r="9" ht="15.75" customHeight="1">
      <c r="A9" s="24"/>
      <c r="B9" s="24"/>
      <c r="C9" s="24" t="str">
        <f t="array" ref="C9">IF(B9="","",IFERROR(INDEX(BD_PT!$A$2:$A$66,MATCH(B9,BD_PT!$B$2:$B$66,0)),""))</f>
        <v/>
      </c>
      <c r="D9" s="24" t="str">
        <f t="array" ref="D9">IF(B9="","",IFERROR(INDEX(BD_PT!$C$2:$C$66,MATCH(B9,BD_PT!$B$2:$B$66,0))*IF(A9="",1,A9),""))</f>
        <v/>
      </c>
      <c r="E9" s="24"/>
      <c r="F9" s="24"/>
    </row>
    <row r="10" ht="15.75" customHeight="1">
      <c r="A10" s="24"/>
      <c r="B10" s="24"/>
      <c r="C10" s="24" t="str">
        <f t="array" ref="C10">IF(B10="","",IFERROR(INDEX(BD_PT!$A$2:$A$66,MATCH(B10,BD_PT!$B$2:$B$66,0)),""))</f>
        <v/>
      </c>
      <c r="D10" s="24" t="str">
        <f t="array" ref="D10">IF(B10="","",IFERROR(INDEX(BD_PT!$C$2:$C$66,MATCH(B10,BD_PT!$B$2:$B$66,0))*IF(A10="",1,A10),""))</f>
        <v/>
      </c>
      <c r="E10" s="24"/>
      <c r="F10" s="24"/>
    </row>
    <row r="11" ht="15.75" customHeight="1">
      <c r="A11" s="24"/>
      <c r="B11" s="24"/>
      <c r="C11" s="24" t="str">
        <f t="array" ref="C11">IF(B11="","",IFERROR(INDEX(BD_PT!$A$2:$A$66,MATCH(B11,BD_PT!$B$2:$B$66,0)),""))</f>
        <v/>
      </c>
      <c r="D11" s="24" t="str">
        <f t="array" ref="D11">IF(B11="","",IFERROR(INDEX(BD_PT!$C$2:$C$66,MATCH(B11,BD_PT!$B$2:$B$66,0))*IF(A11="",1,A11),""))</f>
        <v/>
      </c>
      <c r="E11" s="24"/>
      <c r="F11" s="24"/>
    </row>
    <row r="12" ht="15.75" customHeight="1">
      <c r="A12" s="24"/>
      <c r="B12" s="24"/>
      <c r="C12" s="24" t="str">
        <f t="array" ref="C12">IF(B12="","",IFERROR(INDEX(BD_PT!$A$2:$A$66,MATCH(B12,BD_PT!$B$2:$B$66,0)),""))</f>
        <v/>
      </c>
      <c r="D12" s="24" t="str">
        <f t="array" ref="D12">IF(B12="","",IFERROR(INDEX(BD_PT!$C$2:$C$66,MATCH(B12,BD_PT!$B$2:$B$66,0))*IF(A12="",1,A12),""))</f>
        <v/>
      </c>
      <c r="E12" s="24"/>
      <c r="F12" s="24"/>
    </row>
    <row r="13" ht="15.75" customHeight="1">
      <c r="A13" s="24"/>
      <c r="B13" s="24"/>
      <c r="C13" s="24" t="str">
        <f t="array" ref="C13">IF(B13="","",IFERROR(INDEX(BD_PT!$A$2:$A$66,MATCH(B13,BD_PT!$B$2:$B$66,0)),""))</f>
        <v/>
      </c>
      <c r="D13" s="24" t="str">
        <f t="array" ref="D13">IF(B13="","",IFERROR(INDEX(BD_PT!$C$2:$C$66,MATCH(B13,BD_PT!$B$2:$B$66,0))*IF(A13="",1,A13),""))</f>
        <v/>
      </c>
      <c r="E13" s="24"/>
      <c r="F13" s="24"/>
    </row>
    <row r="14" ht="15.75" customHeight="1">
      <c r="A14" s="24"/>
      <c r="B14" s="24"/>
      <c r="C14" s="24" t="str">
        <f t="array" ref="C14">IF(B14="","",IFERROR(INDEX(BD_PT!$A$2:$A$66,MATCH(B14,BD_PT!$B$2:$B$66,0)),""))</f>
        <v/>
      </c>
      <c r="D14" s="24" t="str">
        <f t="array" ref="D14">IF(B14="","",IFERROR(INDEX(BD_PT!$C$2:$C$66,MATCH(B14,BD_PT!$B$2:$B$66,0))*IF(A14="",1,A14),""))</f>
        <v/>
      </c>
      <c r="E14" s="24"/>
      <c r="F14" s="24"/>
    </row>
    <row r="15" ht="15.75" customHeight="1">
      <c r="A15" s="24"/>
      <c r="B15" s="24"/>
      <c r="C15" s="24" t="str">
        <f t="array" ref="C15">IF(B15="","",IFERROR(INDEX(BD_PT!$A$2:$A$66,MATCH(B15,BD_PT!$B$2:$B$66,0)),""))</f>
        <v/>
      </c>
      <c r="D15" s="24" t="str">
        <f t="array" ref="D15">IF(B15="","",IFERROR(INDEX(BD_PT!$C$2:$C$66,MATCH(B15,BD_PT!$B$2:$B$66,0))*IF(A15="",1,A15),""))</f>
        <v/>
      </c>
      <c r="E15" s="24"/>
      <c r="F15" s="24"/>
    </row>
    <row r="16" ht="15.75" customHeight="1">
      <c r="A16" s="24"/>
      <c r="B16" s="24"/>
      <c r="C16" s="24" t="str">
        <f t="array" ref="C16">IF(B16="","",IFERROR(INDEX(BD_PT!$A$2:$A$66,MATCH(B16,BD_PT!$B$2:$B$66,0)),""))</f>
        <v/>
      </c>
      <c r="D16" s="24" t="str">
        <f t="array" ref="D16">IF(B16="","",IFERROR(INDEX(BD_PT!$C$2:$C$66,MATCH(B16,BD_PT!$B$2:$B$66,0))*IF(A16="",1,A16),""))</f>
        <v/>
      </c>
      <c r="E16" s="24"/>
      <c r="F16" s="24"/>
    </row>
    <row r="17" ht="15.75" customHeight="1">
      <c r="A17" s="24"/>
      <c r="B17" s="24"/>
      <c r="C17" s="24" t="str">
        <f t="array" ref="C17">IF(B17="","",IFERROR(INDEX(BD_PT!$A$2:$A$66,MATCH(B17,BD_PT!$B$2:$B$66,0)),""))</f>
        <v/>
      </c>
      <c r="D17" s="24" t="str">
        <f t="array" ref="D17">IF(B17="","",IFERROR(INDEX(BD_PT!$C$2:$C$66,MATCH(B17,BD_PT!$B$2:$B$66,0))*IF(A17="",1,A17),""))</f>
        <v/>
      </c>
      <c r="E17" s="24"/>
      <c r="F17" s="24"/>
    </row>
    <row r="18" ht="15.75" customHeight="1">
      <c r="A18" s="24"/>
      <c r="B18" s="24"/>
      <c r="C18" s="24" t="str">
        <f t="array" ref="C18">IF(B18="","",IFERROR(INDEX(BD_PT!$A$2:$A$66,MATCH(B18,BD_PT!$B$2:$B$66,0)),""))</f>
        <v/>
      </c>
      <c r="D18" s="24" t="str">
        <f t="array" ref="D18">IF(B18="","",IFERROR(INDEX(BD_PT!$C$2:$C$66,MATCH(B18,BD_PT!$B$2:$B$66,0))*IF(A18="",1,A18),""))</f>
        <v/>
      </c>
      <c r="E18" s="24"/>
      <c r="F18" s="24"/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G1" s="20"/>
      <c r="H1" s="27" t="s">
        <v>140</v>
      </c>
      <c r="I1" s="27">
        <v>1165.0</v>
      </c>
    </row>
    <row r="2" ht="15.75" customHeight="1">
      <c r="A2" s="22">
        <v>1.0</v>
      </c>
      <c r="B2" s="23" t="s">
        <v>54</v>
      </c>
      <c r="C2" s="24" t="str">
        <f t="array" ref="C2">IF(B2="","",IFERROR(INDEX(BD_PT!$A$2:$A$66,MATCH(B2,BD_PT!$B$2:$B$66,0)),""))</f>
        <v>POST-01</v>
      </c>
      <c r="D2" s="22">
        <v>55.0</v>
      </c>
      <c r="E2" s="24"/>
      <c r="F2" s="24"/>
      <c r="H2" s="28"/>
      <c r="I2" s="28"/>
    </row>
    <row r="3" ht="15.75" customHeight="1">
      <c r="A3" s="22">
        <v>1.0</v>
      </c>
      <c r="B3" s="22" t="s">
        <v>161</v>
      </c>
      <c r="C3" s="24" t="str">
        <f t="array" ref="C3">IF(B3="","",IFERROR(INDEX(BD_PT!$A$2:$A$66,MATCH(B3,BD_PT!$B$2:$B$66,0)),""))</f>
        <v/>
      </c>
      <c r="D3" s="22">
        <v>0.0</v>
      </c>
      <c r="E3" s="22">
        <v>44.0</v>
      </c>
      <c r="F3" s="22" t="s">
        <v>156</v>
      </c>
      <c r="H3" s="28"/>
      <c r="I3" s="28"/>
    </row>
    <row r="4" ht="15.75" customHeight="1">
      <c r="A4" s="22">
        <v>1.0</v>
      </c>
      <c r="B4" s="22" t="s">
        <v>4</v>
      </c>
      <c r="C4" s="24" t="str">
        <f t="array" ref="C4">IF(B4="","",IFERROR(INDEX(BD_PT!$A$2:$A$66,MATCH(B4,BD_PT!$B$2:$B$66,0)),""))</f>
        <v>FRES-01</v>
      </c>
      <c r="D4" s="24">
        <f t="array" ref="D4">IF(B4="","",IFERROR(INDEX(BD_PT!$C$2:$C$66,MATCH(B4,BD_PT!$B$2:$B$66,0))*IF(A4="",1,A4),""))</f>
        <v>46</v>
      </c>
      <c r="E4" s="24"/>
      <c r="F4" s="24"/>
    </row>
    <row r="5" ht="15.75" customHeight="1">
      <c r="A5" s="22">
        <v>1.0</v>
      </c>
      <c r="B5" s="22" t="s">
        <v>6</v>
      </c>
      <c r="C5" s="24" t="str">
        <f t="array" ref="C5">IF(B5="","",IFERROR(INDEX(BD_PT!$A$2:$A$66,MATCH(B5,BD_PT!$B$2:$B$66,0)),""))</f>
        <v>FRES-02</v>
      </c>
      <c r="D5" s="24">
        <f t="array" ref="D5">IF(B5="","",IFERROR(INDEX(BD_PT!$C$2:$C$66,MATCH(B5,BD_PT!$B$2:$B$66,0))*IF(A5="",1,A5),""))</f>
        <v>69</v>
      </c>
      <c r="E5" s="24"/>
      <c r="F5" s="24"/>
    </row>
    <row r="6" ht="15.75" customHeight="1">
      <c r="A6" s="22">
        <v>1.0</v>
      </c>
      <c r="B6" s="22" t="s">
        <v>8</v>
      </c>
      <c r="C6" s="24" t="str">
        <f t="array" ref="C6">IF(B6="","",IFERROR(INDEX(BD_PT!$A$2:$A$66,MATCH(B6,BD_PT!$B$2:$B$66,0)),""))</f>
        <v>FRES-03</v>
      </c>
      <c r="D6" s="24">
        <f t="array" ref="D6">IF(B6="","",IFERROR(INDEX(BD_PT!$C$2:$C$66,MATCH(B6,BD_PT!$B$2:$B$66,0))*IF(A6="",1,A6),""))</f>
        <v>89</v>
      </c>
      <c r="E6" s="24"/>
      <c r="F6" s="24"/>
    </row>
    <row r="7" ht="15.75" customHeight="1">
      <c r="A7" s="22">
        <v>1.0</v>
      </c>
      <c r="B7" s="22" t="s">
        <v>26</v>
      </c>
      <c r="C7" s="24" t="str">
        <f t="array" ref="C7">IF(B7="","",IFERROR(INDEX(BD_PT!$A$2:$A$66,MATCH(B7,BD_PT!$B$2:$B$66,0)),""))</f>
        <v>FRES-12</v>
      </c>
      <c r="D7" s="24">
        <f t="array" ref="D7">IF(B7="","",IFERROR(INDEX(BD_PT!$C$2:$C$66,MATCH(B7,BD_PT!$B$2:$B$66,0))*IF(A7="",1,A7),""))</f>
        <v>153</v>
      </c>
      <c r="E7" s="24"/>
      <c r="F7" s="24"/>
    </row>
    <row r="8" ht="15.75" customHeight="1">
      <c r="A8" s="22">
        <v>1.0</v>
      </c>
      <c r="B8" s="22" t="s">
        <v>99</v>
      </c>
      <c r="C8" s="24" t="str">
        <f t="array" ref="C8">IF(B8="","",IFERROR(INDEX(BD_PT!$A$2:$A$66,MATCH(B8,BD_PT!$B$2:$B$66,0)),""))</f>
        <v>AC2T5</v>
      </c>
      <c r="D8" s="22">
        <v>155.0</v>
      </c>
      <c r="E8" s="24"/>
      <c r="F8" s="22" t="s">
        <v>162</v>
      </c>
    </row>
    <row r="9" ht="15.75" customHeight="1">
      <c r="A9" s="22">
        <v>1.0</v>
      </c>
      <c r="B9" s="22" t="s">
        <v>6</v>
      </c>
      <c r="C9" s="24" t="str">
        <f t="array" ref="C9">IF(B9="","",IFERROR(INDEX(BD_PT!$A$2:$A$66,MATCH(B9,BD_PT!$B$2:$B$66,0)),""))</f>
        <v>FRES-02</v>
      </c>
      <c r="D9" s="24">
        <f t="array" ref="D9">IF(B9="","",IFERROR(INDEX(BD_PT!$C$2:$C$66,MATCH(B9,BD_PT!$B$2:$B$66,0))*IF(A9="",1,A9),""))</f>
        <v>69</v>
      </c>
      <c r="E9" s="24"/>
      <c r="F9" s="24"/>
    </row>
    <row r="10" ht="15.75" customHeight="1">
      <c r="A10" s="22">
        <v>1.0</v>
      </c>
      <c r="B10" s="22" t="s">
        <v>12</v>
      </c>
      <c r="C10" s="24" t="str">
        <f t="array" ref="C10">IF(B10="","",IFERROR(INDEX(BD_PT!$A$2:$A$66,MATCH(B10,BD_PT!$B$2:$B$66,0)),""))</f>
        <v>FRES-05</v>
      </c>
      <c r="D10" s="24">
        <f t="array" ref="D10">IF(B10="","",IFERROR(INDEX(BD_PT!$C$2:$C$66,MATCH(B10,BD_PT!$B$2:$B$66,0))*IF(A10="",1,A10),""))</f>
        <v>55</v>
      </c>
      <c r="E10" s="24"/>
      <c r="F10" s="24"/>
    </row>
    <row r="11" ht="15.75" customHeight="1">
      <c r="A11" s="22">
        <v>1.0</v>
      </c>
      <c r="B11" s="22" t="s">
        <v>163</v>
      </c>
      <c r="C11" s="24" t="str">
        <f t="array" ref="C11">IF(B11="","",IFERROR(INDEX(BD_PT!$A$2:$A$66,MATCH(B11,BD_PT!$B$2:$B$66,0)),""))</f>
        <v/>
      </c>
      <c r="D11" s="22">
        <v>60.0</v>
      </c>
      <c r="E11" s="24"/>
      <c r="F11" s="24"/>
    </row>
    <row r="12" ht="15.75" customHeight="1">
      <c r="A12" s="22">
        <v>1.0</v>
      </c>
      <c r="B12" s="22" t="s">
        <v>161</v>
      </c>
      <c r="C12" s="24" t="str">
        <f t="array" ref="C12">IF(B12="","",IFERROR(INDEX(BD_PT!$A$2:$A$66,MATCH(B12,BD_PT!$B$2:$B$66,0)),""))</f>
        <v/>
      </c>
      <c r="D12" s="22">
        <v>0.0</v>
      </c>
      <c r="E12" s="24"/>
      <c r="F12" s="22" t="s">
        <v>156</v>
      </c>
    </row>
    <row r="13" ht="15.75" customHeight="1">
      <c r="A13" s="22">
        <v>1.0</v>
      </c>
      <c r="B13" s="22" t="s">
        <v>163</v>
      </c>
      <c r="C13" s="24" t="str">
        <f t="array" ref="C13">IF(B13="","",IFERROR(INDEX(BD_PT!$A$2:$A$66,MATCH(B13,BD_PT!$B$2:$B$66,0)),""))</f>
        <v/>
      </c>
      <c r="D13" s="22">
        <v>60.0</v>
      </c>
      <c r="E13" s="24"/>
      <c r="F13" s="24"/>
    </row>
    <row r="14" ht="15.75" customHeight="1">
      <c r="A14" s="22">
        <v>1.0</v>
      </c>
      <c r="B14" s="22" t="s">
        <v>163</v>
      </c>
      <c r="C14" s="24" t="str">
        <f t="array" ref="C14">IF(B14="","",IFERROR(INDEX(BD_PT!$A$2:$A$66,MATCH(B14,BD_PT!$B$2:$B$66,0)),""))</f>
        <v/>
      </c>
      <c r="D14" s="22">
        <v>0.0</v>
      </c>
      <c r="E14" s="24"/>
      <c r="F14" s="22" t="s">
        <v>156</v>
      </c>
    </row>
    <row r="15" ht="15.75" customHeight="1">
      <c r="A15" s="22">
        <v>3.0</v>
      </c>
      <c r="B15" s="22" t="s">
        <v>101</v>
      </c>
      <c r="C15" s="24" t="str">
        <f t="array" ref="C15">IF(B15="","",IFERROR(INDEX(BD_PT!$A$2:$A$66,MATCH(B15,BD_PT!$B$2:$B$66,0)),""))</f>
        <v>AC3</v>
      </c>
      <c r="D15" s="22">
        <v>45.0</v>
      </c>
      <c r="E15" s="24"/>
      <c r="F15" s="22" t="s">
        <v>148</v>
      </c>
    </row>
    <row r="16" ht="15.75" customHeight="1">
      <c r="A16" s="22">
        <v>1.0</v>
      </c>
      <c r="B16" s="22" t="s">
        <v>101</v>
      </c>
      <c r="C16" s="24" t="str">
        <f t="array" ref="C16">IF(B16="","",IFERROR(INDEX(BD_PT!$A$2:$A$66,MATCH(B16,BD_PT!$B$2:$B$66,0)),""))</f>
        <v>AC3</v>
      </c>
      <c r="D16" s="22">
        <v>90.0</v>
      </c>
      <c r="E16" s="24"/>
      <c r="F16" s="22" t="s">
        <v>148</v>
      </c>
    </row>
    <row r="17" ht="15.75" customHeight="1">
      <c r="A17" s="22">
        <v>1.0</v>
      </c>
      <c r="B17" s="22" t="s">
        <v>101</v>
      </c>
      <c r="C17" s="24" t="str">
        <f t="array" ref="C17">IF(B17="","",IFERROR(INDEX(BD_PT!$A$2:$A$66,MATCH(B17,BD_PT!$B$2:$B$66,0)),""))</f>
        <v>AC3</v>
      </c>
      <c r="D17" s="22">
        <v>75.0</v>
      </c>
      <c r="E17" s="24"/>
      <c r="F17" s="22" t="s">
        <v>164</v>
      </c>
    </row>
    <row r="18" ht="15.75" customHeight="1">
      <c r="A18" s="22">
        <v>1.0</v>
      </c>
      <c r="B18" s="22" t="s">
        <v>4</v>
      </c>
      <c r="C18" s="24" t="str">
        <f t="array" ref="C18">IF(B18="","",IFERROR(INDEX(BD_PT!$A$2:$A$66,MATCH(B18,BD_PT!$B$2:$B$66,0)),""))</f>
        <v>FRES-01</v>
      </c>
      <c r="D18" s="24">
        <f t="array" ref="D18">IF(B18="","",IFERROR(INDEX(BD_PT!$C$2:$C$66,MATCH(B18,BD_PT!$B$2:$B$66,0))*IF(A18="",1,A18),""))</f>
        <v>46</v>
      </c>
      <c r="E18" s="24"/>
      <c r="F18" s="24"/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</row>
    <row r="2" ht="15.75" customHeight="1">
      <c r="A2" s="22">
        <v>1.0</v>
      </c>
      <c r="B2" s="23" t="s">
        <v>36</v>
      </c>
      <c r="C2" s="24" t="str">
        <f t="array" ref="C2">IF(B2="","",IFERROR(INDEX(BD_PT!$A$2:$A$66,MATCH(B2,BD_PT!$B$2:$B$66,0)),""))</f>
        <v>FRES-17</v>
      </c>
      <c r="D2" s="24">
        <f>124*0.9567</f>
        <v>118.6308</v>
      </c>
      <c r="E2" s="22">
        <v>124.0</v>
      </c>
      <c r="F2" s="22" t="s">
        <v>147</v>
      </c>
    </row>
    <row r="3" ht="15.75" customHeight="1">
      <c r="A3" s="22">
        <v>1.0</v>
      </c>
      <c r="B3" s="22" t="s">
        <v>76</v>
      </c>
      <c r="C3" s="24" t="str">
        <f t="array" ref="C3">IF(B3="","",IFERROR(INDEX(BD_PT!$A$2:$A$66,MATCH(B3,BD_PT!$B$2:$B$66,0)),""))</f>
        <v>EXTR-01</v>
      </c>
      <c r="D3" s="24">
        <f t="array" ref="D3">IF(B3="","",IFERROR(INDEX(BD_PT!$C$2:$C$66,MATCH(B3,BD_PT!$B$2:$B$66,0))*IF(A3="",1,A3),""))</f>
        <v>10</v>
      </c>
      <c r="E3" s="24"/>
      <c r="F3" s="24"/>
    </row>
    <row r="4" ht="15.75" customHeight="1">
      <c r="A4" s="22">
        <v>1.0</v>
      </c>
      <c r="B4" s="22" t="s">
        <v>6</v>
      </c>
      <c r="C4" s="24" t="str">
        <f t="array" ref="C4">IF(B4="","",IFERROR(INDEX(BD_PT!$A$2:$A$66,MATCH(B4,BD_PT!$B$2:$B$66,0)),""))</f>
        <v>FRES-02</v>
      </c>
      <c r="D4" s="24">
        <f>69*0.9567</f>
        <v>66.0123</v>
      </c>
      <c r="E4" s="22">
        <v>69.0</v>
      </c>
      <c r="F4" s="22" t="s">
        <v>147</v>
      </c>
    </row>
    <row r="5" ht="15.75" customHeight="1">
      <c r="A5" s="22">
        <v>1.0</v>
      </c>
      <c r="B5" s="22" t="s">
        <v>14</v>
      </c>
      <c r="C5" s="24" t="str">
        <f t="array" ref="C5">IF(B5="","",IFERROR(INDEX(BD_PT!$A$2:$A$66,MATCH(B5,BD_PT!$B$2:$B$66,0)),""))</f>
        <v>FRES-06</v>
      </c>
      <c r="D5" s="24">
        <f t="array" ref="D5">IF(B5="","",IFERROR(INDEX(BD_PT!$C$2:$C$66,MATCH(B5,BD_PT!$B$2:$B$66,0))*IF(A5="",1,A5),""))</f>
        <v>79</v>
      </c>
      <c r="E5" s="24"/>
      <c r="F5" s="24"/>
    </row>
    <row r="6" ht="15.75" customHeight="1">
      <c r="A6" s="22">
        <v>1.0</v>
      </c>
      <c r="B6" s="22" t="s">
        <v>14</v>
      </c>
      <c r="C6" s="24" t="str">
        <f t="array" ref="C6">IF(B6="","",IFERROR(INDEX(BD_PT!$A$2:$A$66,MATCH(B6,BD_PT!$B$2:$B$66,0)),""))</f>
        <v>FRES-06</v>
      </c>
      <c r="D6" s="24">
        <f t="array" ref="D6">IF(B6="","",IFERROR(INDEX(BD_PT!$C$2:$C$66,MATCH(B6,BD_PT!$B$2:$B$66,0))*IF(A6="",1,A6),""))</f>
        <v>79</v>
      </c>
      <c r="E6" s="24"/>
      <c r="F6" s="24"/>
    </row>
    <row r="7" ht="15.75" customHeight="1">
      <c r="A7" s="22">
        <v>1.0</v>
      </c>
      <c r="B7" s="22" t="s">
        <v>101</v>
      </c>
      <c r="C7" s="24" t="str">
        <f t="array" ref="C7">IF(B7="","",IFERROR(INDEX(BD_PT!$A$2:$A$66,MATCH(B7,BD_PT!$B$2:$B$66,0)),""))</f>
        <v>AC3</v>
      </c>
      <c r="D7" s="22">
        <v>150.0</v>
      </c>
      <c r="E7" s="24"/>
      <c r="F7" s="22" t="s">
        <v>165</v>
      </c>
    </row>
    <row r="8" ht="15.75" customHeight="1">
      <c r="A8" s="22">
        <v>1.0</v>
      </c>
      <c r="B8" s="22" t="s">
        <v>101</v>
      </c>
      <c r="C8" s="24" t="str">
        <f t="array" ref="C8">IF(B8="","",IFERROR(INDEX(BD_PT!$A$2:$A$66,MATCH(B8,BD_PT!$B$2:$B$66,0)),""))</f>
        <v>AC3</v>
      </c>
      <c r="D8" s="22">
        <v>122.0</v>
      </c>
      <c r="E8" s="24"/>
      <c r="F8" s="22" t="s">
        <v>166</v>
      </c>
    </row>
    <row r="9" ht="15.75" customHeight="1">
      <c r="A9" s="22">
        <v>1.0</v>
      </c>
      <c r="B9" s="22" t="s">
        <v>101</v>
      </c>
      <c r="C9" s="24" t="str">
        <f t="array" ref="C9">IF(B9="","",IFERROR(INDEX(BD_PT!$A$2:$A$66,MATCH(B9,BD_PT!$B$2:$B$66,0)),""))</f>
        <v>AC3</v>
      </c>
      <c r="D9" s="22">
        <v>122.0</v>
      </c>
      <c r="E9" s="24"/>
      <c r="F9" s="22" t="s">
        <v>166</v>
      </c>
    </row>
    <row r="10" ht="15.75" customHeight="1">
      <c r="A10" s="22">
        <v>1.0</v>
      </c>
      <c r="B10" s="22" t="s">
        <v>167</v>
      </c>
      <c r="C10" s="24" t="str">
        <f t="array" ref="C10">IF(B10="","",IFERROR(INDEX(BD_PT!$A$2:$A$66,MATCH(B10,BD_PT!$B$2:$B$66,0)),""))</f>
        <v/>
      </c>
      <c r="D10" s="22">
        <v>60.0</v>
      </c>
      <c r="E10" s="24"/>
      <c r="F10" s="24"/>
    </row>
    <row r="11" ht="15.75" customHeight="1">
      <c r="A11" s="22">
        <v>1.0</v>
      </c>
      <c r="B11" s="22" t="s">
        <v>167</v>
      </c>
      <c r="C11" s="24" t="str">
        <f t="array" ref="C11">IF(B11="","",IFERROR(INDEX(BD_PT!$A$2:$A$66,MATCH(B11,BD_PT!$B$2:$B$66,0)),""))</f>
        <v/>
      </c>
      <c r="D11" s="22">
        <v>0.0</v>
      </c>
      <c r="E11" s="22">
        <v>60.0</v>
      </c>
      <c r="F11" s="22" t="s">
        <v>168</v>
      </c>
    </row>
    <row r="12" ht="15.75" customHeight="1">
      <c r="A12" s="22">
        <v>1.0</v>
      </c>
      <c r="B12" s="22" t="s">
        <v>44</v>
      </c>
      <c r="C12" s="24" t="str">
        <f t="array" ref="C12">IF(B12="","",IFERROR(INDEX(BD_PT!$A$2:$A$66,MATCH(B12,BD_PT!$B$2:$B$66,0)),""))</f>
        <v>GALL-01</v>
      </c>
      <c r="D12" s="24">
        <f t="array" ref="D12">IF(B12="","",IFERROR(INDEX(BD_PT!$C$2:$C$66,MATCH(B12,BD_PT!$B$2:$B$66,0))*IF(A12="",1,A12),""))</f>
        <v>39</v>
      </c>
      <c r="E12" s="24"/>
      <c r="F12" s="22" t="s">
        <v>169</v>
      </c>
    </row>
    <row r="13" ht="15.75" customHeight="1">
      <c r="A13" s="22">
        <v>1.0</v>
      </c>
      <c r="B13" s="22" t="s">
        <v>170</v>
      </c>
      <c r="C13" s="24" t="str">
        <f t="array" ref="C13">IF(B13="","",IFERROR(INDEX(BD_PT!$A$2:$A$66,MATCH(B13,BD_PT!$B$2:$B$66,0)),""))</f>
        <v/>
      </c>
      <c r="D13" s="22">
        <v>145.0</v>
      </c>
      <c r="E13" s="24"/>
      <c r="F13" s="24"/>
    </row>
    <row r="14" ht="15.75" customHeight="1">
      <c r="A14" s="22">
        <v>1.0</v>
      </c>
      <c r="B14" s="22" t="s">
        <v>12</v>
      </c>
      <c r="C14" s="24" t="str">
        <f t="array" ref="C14">IF(B14="","",IFERROR(INDEX(BD_PT!$A$2:$A$66,MATCH(B14,BD_PT!$B$2:$B$66,0)),""))</f>
        <v>FRES-05</v>
      </c>
      <c r="D14" s="24">
        <f t="array" ref="D14">IF(B14="","",IFERROR(INDEX(BD_PT!$C$2:$C$66,MATCH(B14,BD_PT!$B$2:$B$66,0))*IF(A14="",1,A14),""))</f>
        <v>55</v>
      </c>
      <c r="E14" s="24"/>
      <c r="F14" s="24"/>
    </row>
    <row r="15" ht="15.75" customHeight="1">
      <c r="A15" s="22">
        <v>1.0</v>
      </c>
      <c r="B15" s="22" t="s">
        <v>6</v>
      </c>
      <c r="C15" s="24" t="str">
        <f t="array" ref="C15">IF(B15="","",IFERROR(INDEX(BD_PT!$A$2:$A$66,MATCH(B15,BD_PT!$B$2:$B$66,0)),""))</f>
        <v>FRES-02</v>
      </c>
      <c r="D15" s="24">
        <f t="array" ref="D15">IF(B15="","",IFERROR(INDEX(BD_PT!$C$2:$C$66,MATCH(B15,BD_PT!$B$2:$B$66,0))*IF(A15="",1,A15),""))</f>
        <v>69</v>
      </c>
      <c r="E15" s="24"/>
      <c r="F15" s="24"/>
    </row>
    <row r="16" ht="15.75" customHeight="1">
      <c r="A16" s="22">
        <v>1.0</v>
      </c>
      <c r="B16" s="22" t="s">
        <v>4</v>
      </c>
      <c r="C16" s="24" t="str">
        <f t="array" ref="C16">IF(B16="","",IFERROR(INDEX(BD_PT!$A$2:$A$66,MATCH(B16,BD_PT!$B$2:$B$66,0)),""))</f>
        <v>FRES-01</v>
      </c>
      <c r="D16" s="24">
        <f t="array" ref="D16">IF(B16="","",IFERROR(INDEX(BD_PT!$C$2:$C$66,MATCH(B16,BD_PT!$B$2:$B$66,0))*IF(A16="",1,A16),""))</f>
        <v>46</v>
      </c>
      <c r="E16" s="24"/>
      <c r="F16" s="24"/>
    </row>
    <row r="17" ht="15.75" customHeight="1">
      <c r="A17" s="22">
        <v>1.0</v>
      </c>
      <c r="B17" s="22" t="s">
        <v>18</v>
      </c>
      <c r="C17" s="24" t="str">
        <f t="array" ref="C17">IF(B17="","",IFERROR(INDEX(BD_PT!$A$2:$A$66,MATCH(B17,BD_PT!$B$2:$B$66,0)),""))</f>
        <v>FRES-08</v>
      </c>
      <c r="D17" s="24">
        <f t="array" ref="D17">IF(B17="","",IFERROR(INDEX(BD_PT!$C$2:$C$66,MATCH(B17,BD_PT!$B$2:$B$66,0))*IF(A17="",1,A17),""))</f>
        <v>55</v>
      </c>
      <c r="E17" s="24"/>
      <c r="F17" s="24"/>
    </row>
    <row r="18" ht="15.75" customHeight="1">
      <c r="A18" s="22">
        <v>1.0</v>
      </c>
      <c r="B18" s="22" t="s">
        <v>8</v>
      </c>
      <c r="C18" s="24" t="str">
        <f t="array" ref="C18">IF(B18="","",IFERROR(INDEX(BD_PT!$A$2:$A$66,MATCH(B18,BD_PT!$B$2:$B$66,0)),""))</f>
        <v>FRES-03</v>
      </c>
      <c r="D18" s="24">
        <f t="array" ref="D18">IF(B18="","",IFERROR(INDEX(BD_PT!$C$2:$C$66,MATCH(B18,BD_PT!$B$2:$B$66,0))*IF(A18="",1,A18),""))</f>
        <v>89</v>
      </c>
      <c r="E18" s="24"/>
      <c r="F18" s="24"/>
    </row>
    <row r="19" ht="15.75" customHeight="1">
      <c r="A19" s="22">
        <v>1.0</v>
      </c>
      <c r="B19" s="22" t="s">
        <v>171</v>
      </c>
      <c r="C19" s="24" t="str">
        <f t="array" ref="C19">IF(B19="","",IFERROR(INDEX(BD_PT!$A$2:$A$66,MATCH(B19,BD_PT!$B$2:$B$66,0)),""))</f>
        <v/>
      </c>
      <c r="D19" s="22">
        <v>125.0</v>
      </c>
      <c r="E19" s="24"/>
      <c r="F19" s="24"/>
    </row>
    <row r="20" ht="15.75" customHeight="1">
      <c r="A20" s="22">
        <v>2.0</v>
      </c>
      <c r="B20" s="22" t="s">
        <v>172</v>
      </c>
      <c r="C20" s="24" t="str">
        <f t="array" ref="C20">IF(B20="","",IFERROR(INDEX(BD_PT!$A$2:$A$66,MATCH(B20,BD_PT!$B$2:$B$66,0)),""))</f>
        <v/>
      </c>
      <c r="D20" s="22">
        <v>30.0</v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140</v>
      </c>
      <c r="I1" s="27">
        <v>1165.0</v>
      </c>
    </row>
    <row r="2" ht="15.75" customHeight="1">
      <c r="A2" s="22">
        <v>1.0</v>
      </c>
      <c r="B2" s="23" t="s">
        <v>94</v>
      </c>
      <c r="C2" s="24" t="str">
        <f t="array" ref="C2">IF(B2="","",IFERROR(INDEX(BD_PT!$A$2:$A$66,MATCH(B2,BD_PT!$B$2:$B$66,0)),""))</f>
        <v>TOPP-15MAZ</v>
      </c>
      <c r="D2" s="24">
        <f t="array" ref="D2">IF(B2="","",IFERROR(INDEX(BD_PT!$C$2:$C$66,MATCH(B2,BD_PT!$B$2:$B$66,0))*IF(A2="",1,A2),""))</f>
        <v>5</v>
      </c>
      <c r="E2" s="24"/>
      <c r="F2" s="24"/>
      <c r="H2" s="27" t="s">
        <v>151</v>
      </c>
      <c r="I2" s="27">
        <v>1600.0</v>
      </c>
    </row>
    <row r="3" ht="15.75" customHeight="1">
      <c r="A3" s="22">
        <v>1.0</v>
      </c>
      <c r="B3" s="22" t="s">
        <v>54</v>
      </c>
      <c r="C3" s="24" t="str">
        <f t="array" ref="C3">IF(B3="","",IFERROR(INDEX(BD_PT!$A$2:$A$66,MATCH(B3,BD_PT!$B$2:$B$66,0)),""))</f>
        <v>POST-01</v>
      </c>
      <c r="D3" s="22">
        <v>55.0</v>
      </c>
      <c r="E3" s="24"/>
      <c r="F3" s="24"/>
      <c r="H3" s="27" t="s">
        <v>147</v>
      </c>
      <c r="I3" s="27">
        <v>0.0</v>
      </c>
    </row>
    <row r="4" ht="15.75" customHeight="1">
      <c r="A4" s="22">
        <v>3.0</v>
      </c>
      <c r="B4" s="22" t="s">
        <v>6</v>
      </c>
      <c r="C4" s="24" t="str">
        <f t="array" ref="C4">IF(B4="","",IFERROR(INDEX(BD_PT!$A$2:$A$66,MATCH(B4,BD_PT!$B$2:$B$66,0)),""))</f>
        <v>FRES-02</v>
      </c>
      <c r="D4" s="24">
        <f t="array" ref="D4">IF(B4="","",IFERROR(INDEX(BD_PT!$C$2:$C$66,MATCH(B4,BD_PT!$B$2:$B$66,0))*IF(A4="",1,A4),""))</f>
        <v>207</v>
      </c>
      <c r="E4" s="24"/>
      <c r="F4" s="24"/>
    </row>
    <row r="5" ht="15.75" customHeight="1">
      <c r="A5" s="22">
        <v>3.0</v>
      </c>
      <c r="B5" s="22" t="s">
        <v>64</v>
      </c>
      <c r="C5" s="24" t="str">
        <f t="array" ref="C5">IF(B5="","",IFERROR(INDEX(BD_PT!$A$2:$A$66,MATCH(B5,BD_PT!$B$2:$B$66,0)),""))</f>
        <v>POST-06</v>
      </c>
      <c r="D5" s="24">
        <f t="array" ref="D5">IF(B5="","",IFERROR(INDEX(BD_PT!$C$2:$C$66,MATCH(B5,BD_PT!$B$2:$B$66,0))*IF(A5="",1,A5),""))</f>
        <v>45</v>
      </c>
      <c r="E5" s="24"/>
      <c r="F5" s="24"/>
    </row>
    <row r="6" ht="15.75" customHeight="1">
      <c r="A6" s="22">
        <v>2.0</v>
      </c>
      <c r="B6" s="22" t="s">
        <v>4</v>
      </c>
      <c r="C6" s="24" t="str">
        <f t="array" ref="C6">IF(B6="","",IFERROR(INDEX(BD_PT!$A$2:$A$66,MATCH(B6,BD_PT!$B$2:$B$66,0)),""))</f>
        <v>FRES-01</v>
      </c>
      <c r="D6" s="24">
        <f t="array" ref="D6">IF(B6="","",IFERROR(INDEX(BD_PT!$C$2:$C$66,MATCH(B6,BD_PT!$B$2:$B$66,0))*IF(A6="",1,A6),""))</f>
        <v>92</v>
      </c>
      <c r="E6" s="24"/>
      <c r="F6" s="24"/>
    </row>
    <row r="7" ht="15.75" customHeight="1">
      <c r="A7" s="22">
        <v>1.0</v>
      </c>
      <c r="B7" s="22" t="s">
        <v>6</v>
      </c>
      <c r="C7" s="24" t="str">
        <f t="array" ref="C7">IF(B7="","",IFERROR(INDEX(BD_PT!$A$2:$A$66,MATCH(B7,BD_PT!$B$2:$B$66,0)),""))</f>
        <v>FRES-02</v>
      </c>
      <c r="D7" s="24">
        <f t="array" ref="D7">IF(B7="","",IFERROR(INDEX(BD_PT!$C$2:$C$66,MATCH(B7,BD_PT!$B$2:$B$66,0))*IF(A7="",1,A7),""))</f>
        <v>69</v>
      </c>
      <c r="E7" s="24"/>
      <c r="F7" s="24"/>
    </row>
    <row r="8" ht="15.75" customHeight="1">
      <c r="A8" s="22">
        <v>1.0</v>
      </c>
      <c r="B8" s="22" t="s">
        <v>24</v>
      </c>
      <c r="C8" s="24" t="str">
        <f t="array" ref="C8">IF(B8="","",IFERROR(INDEX(BD_PT!$A$2:$A$66,MATCH(B8,BD_PT!$B$2:$B$66,0)),""))</f>
        <v>FRES-11</v>
      </c>
      <c r="D8" s="24">
        <f t="array" ref="D8">IF(B8="","",IFERROR(INDEX(BD_PT!$C$2:$C$66,MATCH(B8,BD_PT!$B$2:$B$66,0))*IF(A8="",1,A8),""))</f>
        <v>128</v>
      </c>
      <c r="E8" s="24"/>
      <c r="F8" s="24"/>
    </row>
    <row r="9" ht="15.75" customHeight="1">
      <c r="A9" s="22">
        <v>1.0</v>
      </c>
      <c r="B9" s="22" t="s">
        <v>64</v>
      </c>
      <c r="C9" s="24" t="str">
        <f t="array" ref="C9">IF(B9="","",IFERROR(INDEX(BD_PT!$A$2:$A$66,MATCH(B9,BD_PT!$B$2:$B$66,0)),""))</f>
        <v>POST-06</v>
      </c>
      <c r="D9" s="24">
        <f t="array" ref="D9">IF(B9="","",IFERROR(INDEX(BD_PT!$C$2:$C$66,MATCH(B9,BD_PT!$B$2:$B$66,0))*IF(A9="",1,A9),""))</f>
        <v>15</v>
      </c>
      <c r="E9" s="24"/>
      <c r="F9" s="24"/>
      <c r="G9" s="29"/>
    </row>
    <row r="10" ht="15.75" customHeight="1">
      <c r="A10" s="22">
        <v>1.0</v>
      </c>
      <c r="B10" s="22" t="s">
        <v>64</v>
      </c>
      <c r="C10" s="24" t="str">
        <f t="array" ref="C10">IF(B10="","",IFERROR(INDEX(BD_PT!$A$2:$A$66,MATCH(B10,BD_PT!$B$2:$B$66,0)),""))</f>
        <v>POST-06</v>
      </c>
      <c r="D10" s="24">
        <f t="array" ref="D10">IF(B10="","",IFERROR(INDEX(BD_PT!$C$2:$C$66,MATCH(B10,BD_PT!$B$2:$B$66,0))*IF(A10="",1,A10),""))</f>
        <v>15</v>
      </c>
      <c r="E10" s="24"/>
      <c r="F10" s="24"/>
    </row>
    <row r="11" ht="15.75" customHeight="1">
      <c r="A11" s="22">
        <v>1.0</v>
      </c>
      <c r="B11" s="22" t="s">
        <v>115</v>
      </c>
      <c r="C11" s="24" t="str">
        <f t="array" ref="C11">IF(B11="","",IFERROR(INDEX(BD_PT!$A$2:$A$66,MATCH(B11,BD_PT!$B$2:$B$66,0)),""))</f>
        <v>OL2</v>
      </c>
      <c r="D11" s="22">
        <v>180.0</v>
      </c>
      <c r="E11" s="24"/>
      <c r="F11" s="22" t="s">
        <v>148</v>
      </c>
      <c r="H11" s="29"/>
    </row>
    <row r="12" ht="15.75" customHeight="1">
      <c r="A12" s="22">
        <v>1.0</v>
      </c>
      <c r="B12" s="22" t="s">
        <v>32</v>
      </c>
      <c r="C12" s="24" t="str">
        <f t="array" ref="C12">IF(B12="","",IFERROR(INDEX(BD_PT!$A$2:$A$66,MATCH(B12,BD_PT!$B$2:$B$66,0)),""))</f>
        <v>FRES-15</v>
      </c>
      <c r="D12" s="24">
        <f t="array" ref="D12">IF(B12="","",IFERROR(INDEX(BD_PT!$C$2:$C$66,MATCH(B12,BD_PT!$B$2:$B$66,0))*IF(A12="",1,A12),""))</f>
        <v>66</v>
      </c>
      <c r="E12" s="24"/>
      <c r="F12" s="24"/>
      <c r="G12" s="29"/>
      <c r="H12" s="29"/>
    </row>
    <row r="13" ht="15.75" customHeight="1">
      <c r="A13" s="22">
        <v>1.0</v>
      </c>
      <c r="B13" s="22" t="s">
        <v>18</v>
      </c>
      <c r="C13" s="24" t="str">
        <f t="array" ref="C13">IF(B13="","",IFERROR(INDEX(BD_PT!$A$2:$A$66,MATCH(B13,BD_PT!$B$2:$B$66,0)),""))</f>
        <v>FRES-08</v>
      </c>
      <c r="D13" s="24">
        <f t="array" ref="D13">IF(B13="","",IFERROR(INDEX(BD_PT!$C$2:$C$66,MATCH(B13,BD_PT!$B$2:$B$66,0))*IF(A13="",1,A13),""))</f>
        <v>55</v>
      </c>
      <c r="E13" s="24"/>
      <c r="F13" s="24"/>
    </row>
    <row r="14" ht="15.75" customHeight="1">
      <c r="A14" s="22">
        <v>1.0</v>
      </c>
      <c r="B14" s="22" t="s">
        <v>24</v>
      </c>
      <c r="C14" s="24" t="str">
        <f t="array" ref="C14">IF(B14="","",IFERROR(INDEX(BD_PT!$A$2:$A$66,MATCH(B14,BD_PT!$B$2:$B$66,0)),""))</f>
        <v>FRES-11</v>
      </c>
      <c r="D14" s="24">
        <f t="array" ref="D14">IF(B14="","",IFERROR(INDEX(BD_PT!$C$2:$C$66,MATCH(B14,BD_PT!$B$2:$B$66,0))*IF(A14="",1,A14),""))</f>
        <v>128</v>
      </c>
      <c r="E14" s="24"/>
      <c r="F14" s="24"/>
      <c r="H14" s="29"/>
    </row>
    <row r="15" ht="15.75" customHeight="1">
      <c r="A15" s="22">
        <v>1.0</v>
      </c>
      <c r="B15" s="22" t="s">
        <v>54</v>
      </c>
      <c r="C15" s="24" t="str">
        <f t="array" ref="C15">IF(B15="","",IFERROR(INDEX(BD_PT!$A$2:$A$66,MATCH(B15,BD_PT!$B$2:$B$66,0)),""))</f>
        <v>POST-01</v>
      </c>
      <c r="D15" s="24">
        <f t="array" ref="D15">IF(B15="","",IFERROR(INDEX(BD_PT!$C$2:$C$66,MATCH(B15,BD_PT!$B$2:$B$66,0))*IF(A15="",1,A15),""))</f>
        <v>55</v>
      </c>
      <c r="E15" s="24"/>
      <c r="F15" s="24"/>
      <c r="H15" s="29"/>
    </row>
    <row r="16" ht="15.75" customHeight="1">
      <c r="A16" s="22">
        <v>1.0</v>
      </c>
      <c r="B16" s="22" t="s">
        <v>8</v>
      </c>
      <c r="C16" s="24" t="str">
        <f t="array" ref="C16">IF(B16="","",IFERROR(INDEX(BD_PT!$A$2:$A$66,MATCH(B16,BD_PT!$B$2:$B$66,0)),""))</f>
        <v>FRES-03</v>
      </c>
      <c r="D16" s="24">
        <f t="array" ref="D16">IF(B16="","",IFERROR(INDEX(BD_PT!$C$2:$C$66,MATCH(B16,BD_PT!$B$2:$B$66,0))*IF(A16="",1,A16),""))</f>
        <v>89</v>
      </c>
      <c r="E16" s="24"/>
      <c r="F16" s="24"/>
    </row>
    <row r="17" ht="15.75" customHeight="1">
      <c r="A17" s="22">
        <v>1.0</v>
      </c>
      <c r="B17" s="22" t="s">
        <v>24</v>
      </c>
      <c r="C17" s="24" t="str">
        <f t="array" ref="C17">IF(B17="","",IFERROR(INDEX(BD_PT!$A$2:$A$66,MATCH(B17,BD_PT!$B$2:$B$66,0)),""))</f>
        <v>FRES-11</v>
      </c>
      <c r="D17" s="24">
        <f t="array" ref="D17">IF(B17="","",IFERROR(INDEX(BD_PT!$C$2:$C$66,MATCH(B17,BD_PT!$B$2:$B$66,0))*IF(A17="",1,A17),""))</f>
        <v>128</v>
      </c>
      <c r="E17" s="24"/>
      <c r="F17" s="24"/>
      <c r="H17" s="29"/>
      <c r="I17" s="29"/>
    </row>
    <row r="18" ht="15.75" customHeight="1">
      <c r="A18" s="22">
        <v>1.0</v>
      </c>
      <c r="B18" s="22" t="s">
        <v>56</v>
      </c>
      <c r="C18" s="24" t="str">
        <f t="array" ref="C18">IF(B18="","",IFERROR(INDEX(BD_PT!$A$2:$A$66,MATCH(B18,BD_PT!$B$2:$B$66,0)),""))</f>
        <v>POST-02</v>
      </c>
      <c r="D18" s="22">
        <v>0.0</v>
      </c>
      <c r="E18" s="24"/>
      <c r="F18" s="22" t="s">
        <v>173</v>
      </c>
    </row>
    <row r="19" ht="15.75" customHeight="1">
      <c r="A19" s="22">
        <v>1.0</v>
      </c>
      <c r="B19" s="22" t="s">
        <v>76</v>
      </c>
      <c r="C19" s="24" t="str">
        <f t="array" ref="C19">IF(B19="","",IFERROR(INDEX(BD_PT!$A$2:$A$66,MATCH(B19,BD_PT!$B$2:$B$66,0)),""))</f>
        <v>EXTR-01</v>
      </c>
      <c r="D19" s="24">
        <f t="array" ref="D19">IF(B19="","",IFERROR(INDEX(BD_PT!$C$2:$C$66,MATCH(B19,BD_PT!$B$2:$B$66,0))*IF(A19="",1,A19),""))</f>
        <v>10</v>
      </c>
      <c r="E19" s="24"/>
      <c r="F19" s="24"/>
      <c r="I19" s="29" t="s">
        <v>174</v>
      </c>
    </row>
    <row r="20" ht="15.75" customHeight="1">
      <c r="A20" s="22">
        <v>1.0</v>
      </c>
      <c r="B20" s="22" t="s">
        <v>76</v>
      </c>
      <c r="C20" s="24" t="str">
        <f t="array" ref="C20">IF(B20="","",IFERROR(INDEX(BD_PT!$A$2:$A$66,MATCH(B20,BD_PT!$B$2:$B$66,0)),""))</f>
        <v>EXTR-01</v>
      </c>
      <c r="D20" s="24">
        <f t="array" ref="D20">IF(B20="","",IFERROR(INDEX(BD_PT!$C$2:$C$66,MATCH(B20,BD_PT!$B$2:$B$66,0))*IF(A20="",1,A20),""))</f>
        <v>10</v>
      </c>
      <c r="E20" s="24"/>
      <c r="F20" s="24"/>
      <c r="I20" s="29" t="s">
        <v>175</v>
      </c>
    </row>
    <row r="21" ht="15.75" customHeight="1">
      <c r="A21" s="22">
        <v>1.0</v>
      </c>
      <c r="B21" s="22" t="s">
        <v>44</v>
      </c>
      <c r="C21" s="24" t="str">
        <f t="array" ref="C21">IF(B21="","",IFERROR(INDEX(BD_PT!$A$2:$A$66,MATCH(B21,BD_PT!$B$2:$B$66,0)),""))</f>
        <v>GALL-01</v>
      </c>
      <c r="D21" s="24">
        <f t="array" ref="D21">IF(B21="","",IFERROR(INDEX(BD_PT!$C$2:$C$66,MATCH(B21,BD_PT!$B$2:$B$66,0))*IF(A21="",1,A21),""))</f>
        <v>39</v>
      </c>
      <c r="E21" s="24"/>
      <c r="F21" s="24"/>
    </row>
    <row r="22" ht="15.75" customHeight="1">
      <c r="A22" s="22">
        <v>1.0</v>
      </c>
      <c r="B22" s="22" t="s">
        <v>6</v>
      </c>
      <c r="C22" s="24" t="str">
        <f t="array" ref="C22">IF(B22="","",IFERROR(INDEX(BD_PT!$A$2:$A$66,MATCH(B22,BD_PT!$B$2:$B$66,0)),""))</f>
        <v>FRES-02</v>
      </c>
      <c r="D22" s="24">
        <f t="array" ref="D22">IF(B22="","",IFERROR(INDEX(BD_PT!$C$2:$C$66,MATCH(B22,BD_PT!$B$2:$B$66,0))*IF(A22="",1,A22),""))</f>
        <v>69</v>
      </c>
      <c r="E22" s="24"/>
      <c r="F22" s="24"/>
    </row>
    <row r="23" ht="15.75" customHeight="1">
      <c r="A23" s="22">
        <v>1.0</v>
      </c>
      <c r="B23" s="22" t="s">
        <v>4</v>
      </c>
      <c r="C23" s="24" t="str">
        <f t="array" ref="C23">IF(B23="","",IFERROR(INDEX(BD_PT!$A$2:$A$66,MATCH(B23,BD_PT!$B$2:$B$66,0)),""))</f>
        <v>FRES-01</v>
      </c>
      <c r="D23" s="24">
        <f t="array" ref="D23">IF(B23="","",IFERROR(INDEX(BD_PT!$C$2:$C$66,MATCH(B23,BD_PT!$B$2:$B$66,0))*IF(A23="",1,A23),""))</f>
        <v>46</v>
      </c>
      <c r="E23" s="24"/>
      <c r="F23" s="24"/>
    </row>
    <row r="24" ht="15.75" customHeight="1">
      <c r="A24" s="22">
        <v>1.0</v>
      </c>
      <c r="B24" s="22" t="s">
        <v>54</v>
      </c>
      <c r="C24" s="24" t="str">
        <f t="array" ref="C24">IF(B24="","",IFERROR(INDEX(BD_PT!$A$2:$A$66,MATCH(B24,BD_PT!$B$2:$B$66,0)),""))</f>
        <v>POST-01</v>
      </c>
      <c r="D24" s="24">
        <f t="array" ref="D24">IF(B24="","",IFERROR(INDEX(BD_PT!$C$2:$C$66,MATCH(B24,BD_PT!$B$2:$B$66,0))*IF(A24="",1,A24),""))</f>
        <v>55</v>
      </c>
      <c r="E24" s="24"/>
      <c r="F24" s="24"/>
    </row>
    <row r="25" ht="15.75" customHeight="1">
      <c r="A25" s="22">
        <v>1.0</v>
      </c>
      <c r="B25" s="22" t="s">
        <v>60</v>
      </c>
      <c r="C25" s="24" t="str">
        <f t="array" ref="C25">IF(B25="","",IFERROR(INDEX(BD_PT!$A$2:$A$66,MATCH(B25,BD_PT!$B$2:$B$66,0)),""))</f>
        <v>POST-04</v>
      </c>
      <c r="D25" s="24">
        <f t="array" ref="D25">IF(B25="","",IFERROR(INDEX(BD_PT!$C$2:$C$66,MATCH(B25,BD_PT!$B$2:$B$66,0))*IF(A25="",1,A25),""))</f>
        <v>30</v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</row>
    <row r="2" ht="15.75" customHeight="1">
      <c r="A2" s="22">
        <v>1.0</v>
      </c>
      <c r="B2" s="23" t="s">
        <v>101</v>
      </c>
      <c r="C2" s="24" t="str">
        <f t="array" ref="C2">IF(B2="","",IFERROR(INDEX(BD_PT!$A$2:$A$66,MATCH(B2,BD_PT!$B$2:$B$66,0)),""))</f>
        <v>AC3</v>
      </c>
      <c r="D2" s="22">
        <v>105.0</v>
      </c>
      <c r="E2" s="24"/>
      <c r="F2" s="22" t="s">
        <v>148</v>
      </c>
      <c r="H2" s="27" t="s">
        <v>140</v>
      </c>
      <c r="I2" s="27">
        <v>1165.0</v>
      </c>
    </row>
    <row r="3" ht="15.75" customHeight="1">
      <c r="A3" s="22">
        <v>1.0</v>
      </c>
      <c r="B3" s="22" t="s">
        <v>101</v>
      </c>
      <c r="C3" s="24" t="str">
        <f t="array" ref="C3">IF(B3="","",IFERROR(INDEX(BD_PT!$A$2:$A$66,MATCH(B3,BD_PT!$B$2:$B$66,0)),""))</f>
        <v>AC3</v>
      </c>
      <c r="D3" s="22">
        <v>75.0</v>
      </c>
      <c r="E3" s="24"/>
      <c r="F3" s="22" t="s">
        <v>164</v>
      </c>
      <c r="H3" s="27" t="s">
        <v>151</v>
      </c>
      <c r="I3" s="27">
        <f>319+52</f>
        <v>371</v>
      </c>
    </row>
    <row r="4" ht="15.75" customHeight="1">
      <c r="A4" s="22">
        <v>1.0</v>
      </c>
      <c r="B4" s="22" t="s">
        <v>54</v>
      </c>
      <c r="C4" s="24" t="str">
        <f t="array" ref="C4">IF(B4="","",IFERROR(INDEX(BD_PT!$A$2:$A$66,MATCH(B4,BD_PT!$B$2:$B$66,0)),""))</f>
        <v>POST-01</v>
      </c>
      <c r="D4" s="24">
        <f t="array" ref="D4">IF(B4="","",IFERROR(INDEX(BD_PT!$C$2:$C$66,MATCH(B4,BD_PT!$B$2:$B$66,0))*IF(A4="",1,A4),""))</f>
        <v>55</v>
      </c>
      <c r="E4" s="24"/>
      <c r="F4" s="24"/>
      <c r="H4" s="27" t="s">
        <v>147</v>
      </c>
      <c r="I4" s="27">
        <v>0.0</v>
      </c>
    </row>
    <row r="5" ht="15.75" customHeight="1">
      <c r="A5" s="22">
        <v>1.0</v>
      </c>
      <c r="B5" s="22" t="s">
        <v>101</v>
      </c>
      <c r="C5" s="24" t="str">
        <f t="array" ref="C5">IF(B5="","",IFERROR(INDEX(BD_PT!$A$2:$A$66,MATCH(B5,BD_PT!$B$2:$B$66,0)),""))</f>
        <v>AC3</v>
      </c>
      <c r="D5" s="22">
        <v>75.0</v>
      </c>
      <c r="E5" s="24"/>
      <c r="F5" s="22" t="s">
        <v>176</v>
      </c>
    </row>
    <row r="6" ht="15.75" customHeight="1">
      <c r="A6" s="22">
        <v>1.0</v>
      </c>
      <c r="B6" s="22" t="s">
        <v>4</v>
      </c>
      <c r="C6" s="24" t="str">
        <f t="array" ref="C6">IF(B6="","",IFERROR(INDEX(BD_PT!$A$2:$A$66,MATCH(B6,BD_PT!$B$2:$B$66,0)),""))</f>
        <v>FRES-01</v>
      </c>
      <c r="D6" s="24">
        <f t="array" ref="D6">IF(B6="","",IFERROR(INDEX(BD_PT!$C$2:$C$66,MATCH(B6,BD_PT!$B$2:$B$66,0))*IF(A6="",1,A6),""))</f>
        <v>46</v>
      </c>
      <c r="E6" s="24"/>
      <c r="F6" s="24"/>
    </row>
    <row r="7" ht="15.75" customHeight="1">
      <c r="A7" s="22">
        <v>1.0</v>
      </c>
      <c r="B7" s="22" t="s">
        <v>76</v>
      </c>
      <c r="C7" s="24" t="str">
        <f t="array" ref="C7">IF(B7="","",IFERROR(INDEX(BD_PT!$A$2:$A$66,MATCH(B7,BD_PT!$B$2:$B$66,0)),""))</f>
        <v>EXTR-01</v>
      </c>
      <c r="D7" s="24">
        <f t="array" ref="D7">IF(B7="","",IFERROR(INDEX(BD_PT!$C$2:$C$66,MATCH(B7,BD_PT!$B$2:$B$66,0))*IF(A7="",1,A7),""))</f>
        <v>10</v>
      </c>
      <c r="E7" s="24"/>
      <c r="F7" s="22" t="s">
        <v>177</v>
      </c>
    </row>
    <row r="8" ht="15.75" customHeight="1">
      <c r="A8" s="24"/>
      <c r="B8" s="24"/>
      <c r="C8" s="24" t="str">
        <f t="array" ref="C8">IF(B8="","",IFERROR(INDEX(BD_PT!$A$2:$A$66,MATCH(B8,BD_PT!$B$2:$B$66,0)),""))</f>
        <v/>
      </c>
      <c r="D8" s="24" t="str">
        <f t="array" ref="D8">IF(B8="","",IFERROR(INDEX(BD_PT!$C$2:$C$66,MATCH(B8,BD_PT!$B$2:$B$66,0))*IF(A8="",1,A8),""))</f>
        <v/>
      </c>
      <c r="E8" s="24"/>
      <c r="F8" s="24"/>
    </row>
    <row r="9" ht="15.75" customHeight="1">
      <c r="A9" s="24"/>
      <c r="B9" s="24"/>
      <c r="C9" s="24" t="str">
        <f t="array" ref="C9">IF(B9="","",IFERROR(INDEX(BD_PT!$A$2:$A$66,MATCH(B9,BD_PT!$B$2:$B$66,0)),""))</f>
        <v/>
      </c>
      <c r="D9" s="24" t="str">
        <f t="array" ref="D9">IF(B9="","",IFERROR(INDEX(BD_PT!$C$2:$C$66,MATCH(B9,BD_PT!$B$2:$B$66,0))*IF(A9="",1,A9),""))</f>
        <v/>
      </c>
      <c r="E9" s="24"/>
      <c r="F9" s="24"/>
    </row>
    <row r="10" ht="15.75" customHeight="1">
      <c r="A10" s="24"/>
      <c r="B10" s="24"/>
      <c r="C10" s="24" t="str">
        <f t="array" ref="C10">IF(B10="","",IFERROR(INDEX(BD_PT!$A$2:$A$66,MATCH(B10,BD_PT!$B$2:$B$66,0)),""))</f>
        <v/>
      </c>
      <c r="D10" s="24" t="str">
        <f t="array" ref="D10">IF(B10="","",IFERROR(INDEX(BD_PT!$C$2:$C$66,MATCH(B10,BD_PT!$B$2:$B$66,0))*IF(A10="",1,A10),""))</f>
        <v/>
      </c>
      <c r="E10" s="24"/>
      <c r="F10" s="24"/>
    </row>
    <row r="11" ht="15.75" customHeight="1">
      <c r="A11" s="24"/>
      <c r="B11" s="24"/>
      <c r="C11" s="24" t="str">
        <f t="array" ref="C11">IF(B11="","",IFERROR(INDEX(BD_PT!$A$2:$A$66,MATCH(B11,BD_PT!$B$2:$B$66,0)),""))</f>
        <v/>
      </c>
      <c r="D11" s="24" t="str">
        <f t="array" ref="D11">IF(B11="","",IFERROR(INDEX(BD_PT!$C$2:$C$66,MATCH(B11,BD_PT!$B$2:$B$66,0))*IF(A11="",1,A11),""))</f>
        <v/>
      </c>
      <c r="E11" s="24"/>
      <c r="F11" s="24"/>
    </row>
    <row r="12" ht="15.75" customHeight="1">
      <c r="A12" s="24"/>
      <c r="B12" s="24"/>
      <c r="C12" s="24" t="str">
        <f t="array" ref="C12">IF(B12="","",IFERROR(INDEX(BD_PT!$A$2:$A$66,MATCH(B12,BD_PT!$B$2:$B$66,0)),""))</f>
        <v/>
      </c>
      <c r="D12" s="24" t="str">
        <f t="array" ref="D12">IF(B12="","",IFERROR(INDEX(BD_PT!$C$2:$C$66,MATCH(B12,BD_PT!$B$2:$B$66,0))*IF(A12="",1,A12),""))</f>
        <v/>
      </c>
      <c r="E12" s="24"/>
      <c r="F12" s="24"/>
    </row>
    <row r="13" ht="15.75" customHeight="1">
      <c r="A13" s="24"/>
      <c r="B13" s="24"/>
      <c r="C13" s="24" t="str">
        <f t="array" ref="C13">IF(B13="","",IFERROR(INDEX(BD_PT!$A$2:$A$66,MATCH(B13,BD_PT!$B$2:$B$66,0)),""))</f>
        <v/>
      </c>
      <c r="D13" s="24" t="str">
        <f t="array" ref="D13">IF(B13="","",IFERROR(INDEX(BD_PT!$C$2:$C$66,MATCH(B13,BD_PT!$B$2:$B$66,0))*IF(A13="",1,A13),""))</f>
        <v/>
      </c>
      <c r="E13" s="24"/>
      <c r="F13" s="24"/>
    </row>
    <row r="14" ht="15.75" customHeight="1">
      <c r="A14" s="24"/>
      <c r="B14" s="24"/>
      <c r="C14" s="24" t="str">
        <f t="array" ref="C14">IF(B14="","",IFERROR(INDEX(BD_PT!$A$2:$A$66,MATCH(B14,BD_PT!$B$2:$B$66,0)),""))</f>
        <v/>
      </c>
      <c r="D14" s="24" t="str">
        <f t="array" ref="D14">IF(B14="","",IFERROR(INDEX(BD_PT!$C$2:$C$66,MATCH(B14,BD_PT!$B$2:$B$66,0))*IF(A14="",1,A14),""))</f>
        <v/>
      </c>
      <c r="E14" s="24"/>
      <c r="F14" s="24"/>
    </row>
    <row r="15" ht="15.75" customHeight="1">
      <c r="A15" s="24"/>
      <c r="B15" s="24"/>
      <c r="C15" s="24" t="str">
        <f t="array" ref="C15">IF(B15="","",IFERROR(INDEX(BD_PT!$A$2:$A$66,MATCH(B15,BD_PT!$B$2:$B$66,0)),""))</f>
        <v/>
      </c>
      <c r="D15" s="24" t="str">
        <f t="array" ref="D15">IF(B15="","",IFERROR(INDEX(BD_PT!$C$2:$C$66,MATCH(B15,BD_PT!$B$2:$B$66,0))*IF(A15="",1,A15),""))</f>
        <v/>
      </c>
      <c r="E15" s="24"/>
      <c r="F15" s="24"/>
    </row>
    <row r="16" ht="15.75" customHeight="1">
      <c r="A16" s="24"/>
      <c r="B16" s="24"/>
      <c r="C16" s="24" t="str">
        <f t="array" ref="C16">IF(B16="","",IFERROR(INDEX(BD_PT!$A$2:$A$66,MATCH(B16,BD_PT!$B$2:$B$66,0)),""))</f>
        <v/>
      </c>
      <c r="D16" s="24" t="str">
        <f t="array" ref="D16">IF(B16="","",IFERROR(INDEX(BD_PT!$C$2:$C$66,MATCH(B16,BD_PT!$B$2:$B$66,0))*IF(A16="",1,A16),""))</f>
        <v/>
      </c>
      <c r="E16" s="24"/>
      <c r="F16" s="24"/>
    </row>
    <row r="17" ht="15.75" customHeight="1">
      <c r="A17" s="24"/>
      <c r="B17" s="24"/>
      <c r="C17" s="24" t="str">
        <f t="array" ref="C17">IF(B17="","",IFERROR(INDEX(BD_PT!$A$2:$A$66,MATCH(B17,BD_PT!$B$2:$B$66,0)),""))</f>
        <v/>
      </c>
      <c r="D17" s="24" t="str">
        <f t="array" ref="D17">IF(B17="","",IFERROR(INDEX(BD_PT!$C$2:$C$66,MATCH(B17,BD_PT!$B$2:$B$66,0))*IF(A17="",1,A17),""))</f>
        <v/>
      </c>
      <c r="E17" s="24"/>
      <c r="F17" s="24"/>
    </row>
    <row r="18" ht="15.75" customHeight="1">
      <c r="A18" s="24"/>
      <c r="B18" s="24"/>
      <c r="C18" s="24" t="str">
        <f t="array" ref="C18">IF(B18="","",IFERROR(INDEX(BD_PT!$A$2:$A$66,MATCH(B18,BD_PT!$B$2:$B$66,0)),""))</f>
        <v/>
      </c>
      <c r="D18" s="24" t="str">
        <f t="array" ref="D18">IF(B18="","",IFERROR(INDEX(BD_PT!$C$2:$C$66,MATCH(B18,BD_PT!$B$2:$B$66,0))*IF(A18="",1,A18),""))</f>
        <v/>
      </c>
      <c r="E18" s="24"/>
      <c r="F18" s="24"/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140</v>
      </c>
      <c r="I1" s="27">
        <v>1165.0</v>
      </c>
    </row>
    <row r="2" ht="15.75" customHeight="1">
      <c r="A2" s="22">
        <v>1.0</v>
      </c>
      <c r="B2" s="23" t="s">
        <v>6</v>
      </c>
      <c r="C2" s="24" t="str">
        <f t="array" ref="C2">IF(B2="","",IFERROR(INDEX(BD_PT!$A$2:$A$66,MATCH(B2,BD_PT!$B$2:$B$66,0)),""))</f>
        <v>FRES-02</v>
      </c>
      <c r="D2" s="24">
        <f t="array" ref="D2">IF(B2="","",IFERROR(INDEX(BD_PT!$C$2:$C$66,MATCH(B2,BD_PT!$B$2:$B$66,0))*IF(A2="",1,A2),""))</f>
        <v>69</v>
      </c>
      <c r="E2" s="24"/>
      <c r="F2" s="24"/>
      <c r="H2" s="27" t="s">
        <v>151</v>
      </c>
      <c r="I2" s="27">
        <f>279+373</f>
        <v>652</v>
      </c>
    </row>
    <row r="3" ht="15.75" customHeight="1">
      <c r="A3" s="22">
        <v>1.0</v>
      </c>
      <c r="B3" s="22" t="s">
        <v>64</v>
      </c>
      <c r="C3" s="24" t="str">
        <f t="array" ref="C3">IF(B3="","",IFERROR(INDEX(BD_PT!$A$2:$A$66,MATCH(B3,BD_PT!$B$2:$B$66,0)),""))</f>
        <v>POST-06</v>
      </c>
      <c r="D3" s="24">
        <f t="array" ref="D3">IF(B3="","",IFERROR(INDEX(BD_PT!$C$2:$C$66,MATCH(B3,BD_PT!$B$2:$B$66,0))*IF(A3="",1,A3),""))</f>
        <v>15</v>
      </c>
      <c r="E3" s="24"/>
      <c r="F3" s="24"/>
      <c r="H3" s="27" t="s">
        <v>147</v>
      </c>
      <c r="I3" s="28">
        <f>118.97+66.2</f>
        <v>185.17</v>
      </c>
    </row>
    <row r="4" ht="15.75" customHeight="1">
      <c r="A4" s="22">
        <v>1.0</v>
      </c>
      <c r="B4" s="22" t="s">
        <v>58</v>
      </c>
      <c r="C4" s="24" t="str">
        <f t="array" ref="C4">IF(B4="","",IFERROR(INDEX(BD_PT!$A$2:$A$66,MATCH(B4,BD_PT!$B$2:$B$66,0)),""))</f>
        <v>POSRT-03</v>
      </c>
      <c r="D4" s="24">
        <f t="array" ref="D4">IF(B4="","",IFERROR(INDEX(BD_PT!$C$2:$C$66,MATCH(B4,BD_PT!$B$2:$B$66,0))*IF(A4="",1,A4),""))</f>
        <v>60</v>
      </c>
      <c r="E4" s="24"/>
      <c r="F4" s="24"/>
    </row>
    <row r="5" ht="15.75" customHeight="1">
      <c r="A5" s="22">
        <v>1.0</v>
      </c>
      <c r="B5" s="22" t="s">
        <v>76</v>
      </c>
      <c r="C5" s="24" t="str">
        <f t="array" ref="C5">IF(B5="","",IFERROR(INDEX(BD_PT!$A$2:$A$66,MATCH(B5,BD_PT!$B$2:$B$66,0)),""))</f>
        <v>EXTR-01</v>
      </c>
      <c r="D5" s="24">
        <f t="array" ref="D5">IF(B5="","",IFERROR(INDEX(BD_PT!$C$2:$C$66,MATCH(B5,BD_PT!$B$2:$B$66,0))*IF(A5="",1,A5),""))</f>
        <v>10</v>
      </c>
      <c r="E5" s="24"/>
      <c r="F5" s="22" t="s">
        <v>178</v>
      </c>
    </row>
    <row r="6" ht="15.75" customHeight="1">
      <c r="A6" s="22">
        <v>2.0</v>
      </c>
      <c r="B6" s="22" t="s">
        <v>76</v>
      </c>
      <c r="C6" s="24" t="str">
        <f t="array" ref="C6">IF(B6="","",IFERROR(INDEX(BD_PT!$A$2:$A$66,MATCH(B6,BD_PT!$B$2:$B$66,0)),""))</f>
        <v>EXTR-01</v>
      </c>
      <c r="D6" s="24">
        <f t="array" ref="D6">IF(B6="","",IFERROR(INDEX(BD_PT!$C$2:$C$66,MATCH(B6,BD_PT!$B$2:$B$66,0))*IF(A6="",1,A6),""))</f>
        <v>20</v>
      </c>
      <c r="E6" s="24"/>
      <c r="F6" s="22" t="s">
        <v>179</v>
      </c>
    </row>
    <row r="7" ht="15.75" customHeight="1">
      <c r="A7" s="22">
        <v>1.0</v>
      </c>
      <c r="B7" s="22" t="s">
        <v>40</v>
      </c>
      <c r="C7" s="24" t="str">
        <f t="array" ref="C7">IF(B7="","",IFERROR(INDEX(BD_PT!$A$2:$A$66,MATCH(B7,BD_PT!$B$2:$B$66,0)),""))</f>
        <v>FRES-19</v>
      </c>
      <c r="D7" s="24">
        <f>145*0.9567</f>
        <v>138.7215</v>
      </c>
      <c r="E7" s="24"/>
      <c r="F7" s="22" t="s">
        <v>147</v>
      </c>
    </row>
    <row r="8" ht="15.75" customHeight="1">
      <c r="A8" s="22">
        <v>1.0</v>
      </c>
      <c r="B8" s="22" t="s">
        <v>76</v>
      </c>
      <c r="C8" s="24" t="str">
        <f t="array" ref="C8">IF(B8="","",IFERROR(INDEX(BD_PT!$A$2:$A$66,MATCH(B8,BD_PT!$B$2:$B$66,0)),""))</f>
        <v>EXTR-01</v>
      </c>
      <c r="D8" s="24">
        <f t="array" ref="D8">IF(B8="","",IFERROR(INDEX(BD_PT!$C$2:$C$66,MATCH(B8,BD_PT!$B$2:$B$66,0))*IF(A8="",1,A8),""))</f>
        <v>10</v>
      </c>
      <c r="E8" s="24"/>
      <c r="F8" s="24"/>
    </row>
    <row r="9" ht="15.75" customHeight="1">
      <c r="A9" s="22">
        <v>1.0</v>
      </c>
      <c r="B9" s="22" t="s">
        <v>64</v>
      </c>
      <c r="C9" s="24" t="str">
        <f t="array" ref="C9">IF(B9="","",IFERROR(INDEX(BD_PT!$A$2:$A$66,MATCH(B9,BD_PT!$B$2:$B$66,0)),""))</f>
        <v>POST-06</v>
      </c>
      <c r="D9" s="24">
        <f t="array" ref="D9">IF(B9="","",IFERROR(INDEX(BD_PT!$C$2:$C$66,MATCH(B9,BD_PT!$B$2:$B$66,0))*IF(A9="",1,A9),""))</f>
        <v>15</v>
      </c>
      <c r="E9" s="24"/>
      <c r="F9" s="24"/>
    </row>
    <row r="10" ht="15.75" customHeight="1">
      <c r="A10" s="22">
        <v>1.0</v>
      </c>
      <c r="B10" s="22" t="s">
        <v>54</v>
      </c>
      <c r="C10" s="24" t="str">
        <f t="array" ref="C10">IF(B10="","",IFERROR(INDEX(BD_PT!$A$2:$A$66,MATCH(B10,BD_PT!$B$2:$B$66,0)),""))</f>
        <v>POST-01</v>
      </c>
      <c r="D10" s="24">
        <f t="array" ref="D10">IF(B10="","",IFERROR(INDEX(BD_PT!$C$2:$C$66,MATCH(B10,BD_PT!$B$2:$B$66,0))*IF(A10="",1,A10),""))</f>
        <v>55</v>
      </c>
      <c r="E10" s="24"/>
      <c r="F10" s="24"/>
    </row>
    <row r="11" ht="15.75" customHeight="1">
      <c r="A11" s="22">
        <v>1.0</v>
      </c>
      <c r="B11" s="22" t="s">
        <v>54</v>
      </c>
      <c r="C11" s="24" t="str">
        <f t="array" ref="C11">IF(B11="","",IFERROR(INDEX(BD_PT!$A$2:$A$66,MATCH(B11,BD_PT!$B$2:$B$66,0)),""))</f>
        <v>POST-01</v>
      </c>
      <c r="D11" s="24">
        <f t="array" ref="D11">IF(B11="","",IFERROR(INDEX(BD_PT!$C$2:$C$66,MATCH(B11,BD_PT!$B$2:$B$66,0))*IF(A11="",1,A11),""))</f>
        <v>55</v>
      </c>
      <c r="E11" s="24"/>
      <c r="F11" s="24"/>
    </row>
    <row r="12" ht="15.75" customHeight="1">
      <c r="A12" s="22">
        <v>1.0</v>
      </c>
      <c r="B12" s="22" t="s">
        <v>40</v>
      </c>
      <c r="C12" s="24" t="str">
        <f t="array" ref="C12">IF(B12="","",IFERROR(INDEX(BD_PT!$A$2:$A$66,MATCH(B12,BD_PT!$B$2:$B$66,0)),""))</f>
        <v>FRES-19</v>
      </c>
      <c r="D12" s="24">
        <f t="array" ref="D12">IF(B12="","",IFERROR(INDEX(BD_PT!$C$2:$C$66,MATCH(B12,BD_PT!$B$2:$B$66,0))*IF(A12="",1,A12),""))</f>
        <v>145</v>
      </c>
      <c r="E12" s="24"/>
      <c r="F12" s="24"/>
    </row>
    <row r="13" ht="15.75" customHeight="1">
      <c r="A13" s="22">
        <v>1.0</v>
      </c>
      <c r="B13" s="22" t="s">
        <v>66</v>
      </c>
      <c r="C13" s="24" t="str">
        <f t="array" ref="C13">IF(B13="","",IFERROR(INDEX(BD_PT!$A$2:$A$66,MATCH(B13,BD_PT!$B$2:$B$66,0)),""))</f>
        <v>POST-07</v>
      </c>
      <c r="D13" s="24">
        <f t="array" ref="D13">IF(B13="","",IFERROR(INDEX(BD_PT!$C$2:$C$66,MATCH(B13,BD_PT!$B$2:$B$66,0))*IF(A13="",1,A13),""))</f>
        <v>44</v>
      </c>
      <c r="E13" s="24"/>
      <c r="F13" s="24"/>
    </row>
    <row r="14" ht="15.75" customHeight="1">
      <c r="A14" s="22">
        <v>1.0</v>
      </c>
      <c r="B14" s="22" t="s">
        <v>8</v>
      </c>
      <c r="C14" s="24" t="str">
        <f t="array" ref="C14">IF(B14="","",IFERROR(INDEX(BD_PT!$A$2:$A$66,MATCH(B14,BD_PT!$B$2:$B$66,0)),""))</f>
        <v>FRES-03</v>
      </c>
      <c r="D14" s="24">
        <f t="array" ref="D14">IF(B14="","",IFERROR(INDEX(BD_PT!$C$2:$C$66,MATCH(B14,BD_PT!$B$2:$B$66,0))*IF(A14="",1,A14),""))</f>
        <v>89</v>
      </c>
      <c r="E14" s="24"/>
      <c r="F14" s="24"/>
    </row>
    <row r="15" ht="15.75" customHeight="1">
      <c r="A15" s="22">
        <v>1.0</v>
      </c>
      <c r="B15" s="22" t="s">
        <v>58</v>
      </c>
      <c r="C15" s="24" t="str">
        <f t="array" ref="C15">IF(B15="","",IFERROR(INDEX(BD_PT!$A$2:$A$66,MATCH(B15,BD_PT!$B$2:$B$66,0)),""))</f>
        <v>POSRT-03</v>
      </c>
      <c r="D15" s="24">
        <f t="array" ref="D15">IF(B15="","",IFERROR(INDEX(BD_PT!$C$2:$C$66,MATCH(B15,BD_PT!$B$2:$B$66,0))*IF(A15="",1,A15),""))</f>
        <v>60</v>
      </c>
      <c r="E15" s="24"/>
      <c r="F15" s="24"/>
    </row>
    <row r="16" ht="15.75" customHeight="1">
      <c r="A16" s="22">
        <v>1.0</v>
      </c>
      <c r="B16" s="22" t="s">
        <v>64</v>
      </c>
      <c r="C16" s="24" t="str">
        <f t="array" ref="C16">IF(B16="","",IFERROR(INDEX(BD_PT!$A$2:$A$66,MATCH(B16,BD_PT!$B$2:$B$66,0)),""))</f>
        <v>POST-06</v>
      </c>
      <c r="D16" s="24">
        <f t="array" ref="D16">IF(B16="","",IFERROR(INDEX(BD_PT!$C$2:$C$66,MATCH(B16,BD_PT!$B$2:$B$66,0))*IF(A16="",1,A16),""))</f>
        <v>15</v>
      </c>
      <c r="E16" s="24"/>
      <c r="F16" s="24"/>
    </row>
    <row r="17" ht="15.75" customHeight="1">
      <c r="A17" s="22">
        <v>1.0</v>
      </c>
      <c r="B17" s="22" t="s">
        <v>80</v>
      </c>
      <c r="C17" s="24" t="str">
        <f t="array" ref="C17">IF(B17="","",IFERROR(INDEX(BD_PT!$A$2:$A$66,MATCH(B17,BD_PT!$B$2:$B$66,0)),""))</f>
        <v>EXTR-03</v>
      </c>
      <c r="D17" s="24">
        <f t="array" ref="D17">IF(B17="","",IFERROR(INDEX(BD_PT!$C$2:$C$66,MATCH(B17,BD_PT!$B$2:$B$66,0))*IF(A17="",1,A17),""))</f>
        <v>20</v>
      </c>
      <c r="E17" s="24"/>
      <c r="F17" s="24"/>
    </row>
    <row r="18" ht="15.75" customHeight="1">
      <c r="A18" s="24"/>
      <c r="B18" s="24"/>
      <c r="C18" s="24" t="str">
        <f t="array" ref="C18">IF(B18="","",IFERROR(INDEX(BD_PT!$A$2:$A$66,MATCH(B18,BD_PT!$B$2:$B$66,0)),""))</f>
        <v/>
      </c>
      <c r="D18" s="24" t="str">
        <f t="array" ref="D18">IF(B18="","",IFERROR(INDEX(BD_PT!$C$2:$C$66,MATCH(B18,BD_PT!$B$2:$B$66,0))*IF(A18="",1,A18),""))</f>
        <v/>
      </c>
      <c r="E18" s="24"/>
      <c r="F18" s="24"/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  <col customWidth="1" min="6" max="6" width="18.38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140</v>
      </c>
      <c r="I1" s="27">
        <v>1000.0</v>
      </c>
    </row>
    <row r="2" ht="15.75" customHeight="1">
      <c r="A2" s="22">
        <v>1.0</v>
      </c>
      <c r="B2" s="23" t="s">
        <v>38</v>
      </c>
      <c r="C2" s="24" t="str">
        <f t="array" ref="C2">IF(B2="","",IFERROR(INDEX(BD_PT!$A$2:$A$66,MATCH(B2,BD_PT!$B$2:$B$66,0)),""))</f>
        <v>FRES-18</v>
      </c>
      <c r="D2" s="24">
        <f t="array" ref="D2">IF(B2="","",IFERROR(INDEX(BD_PT!$C$2:$C$66,MATCH(B2,BD_PT!$B$2:$B$66,0))*IF(A2="",1,A2),""))</f>
        <v>125</v>
      </c>
      <c r="E2" s="24"/>
      <c r="F2" s="24"/>
      <c r="H2" s="27" t="s">
        <v>151</v>
      </c>
      <c r="I2" s="28">
        <f>750+108</f>
        <v>858</v>
      </c>
    </row>
    <row r="3" ht="15.75" customHeight="1">
      <c r="A3" s="22">
        <v>1.0</v>
      </c>
      <c r="B3" s="22" t="s">
        <v>4</v>
      </c>
      <c r="C3" s="24" t="str">
        <f t="array" ref="C3">IF(B3="","",IFERROR(INDEX(BD_PT!$A$2:$A$66,MATCH(B3,BD_PT!$B$2:$B$66,0)),""))</f>
        <v>FRES-01</v>
      </c>
      <c r="D3" s="24">
        <f t="array" ref="D3">IF(B3="","",IFERROR(INDEX(BD_PT!$C$2:$C$66,MATCH(B3,BD_PT!$B$2:$B$66,0))*IF(A3="",1,A3),""))</f>
        <v>46</v>
      </c>
      <c r="E3" s="24"/>
      <c r="F3" s="24"/>
      <c r="H3" s="27" t="s">
        <v>147</v>
      </c>
      <c r="I3" s="28">
        <f>52.77+85.39</f>
        <v>138.16</v>
      </c>
    </row>
    <row r="4" ht="15.75" customHeight="1">
      <c r="A4" s="22">
        <v>1.0</v>
      </c>
      <c r="B4" s="22" t="s">
        <v>76</v>
      </c>
      <c r="C4" s="24" t="str">
        <f t="array" ref="C4">IF(B4="","",IFERROR(INDEX(BD_PT!$A$2:$A$66,MATCH(B4,BD_PT!$B$2:$B$66,0)),""))</f>
        <v>EXTR-01</v>
      </c>
      <c r="D4" s="24">
        <f t="array" ref="D4">IF(B4="","",IFERROR(INDEX(BD_PT!$C$2:$C$66,MATCH(B4,BD_PT!$B$2:$B$66,0))*IF(A4="",1,A4),""))</f>
        <v>10</v>
      </c>
      <c r="E4" s="24"/>
      <c r="F4" s="22" t="s">
        <v>155</v>
      </c>
    </row>
    <row r="5" ht="15.75" customHeight="1">
      <c r="A5" s="22">
        <v>1.0</v>
      </c>
      <c r="B5" s="22" t="s">
        <v>68</v>
      </c>
      <c r="C5" s="24" t="str">
        <f t="array" ref="C5">IF(B5="","",IFERROR(INDEX(BD_PT!$A$2:$A$66,MATCH(B5,BD_PT!$B$2:$B$66,0)),""))</f>
        <v>POST-08</v>
      </c>
      <c r="D5" s="24">
        <f t="array" ref="D5">IF(B5="","",IFERROR(INDEX(BD_PT!$C$2:$C$66,MATCH(B5,BD_PT!$B$2:$B$66,0))*IF(A5="",1,A5),""))</f>
        <v>35</v>
      </c>
      <c r="E5" s="24"/>
      <c r="F5" s="24"/>
    </row>
    <row r="6" ht="15.75" customHeight="1">
      <c r="A6" s="22">
        <v>1.0</v>
      </c>
      <c r="B6" s="22" t="s">
        <v>8</v>
      </c>
      <c r="C6" s="24" t="str">
        <f t="array" ref="C6">IF(B6="","",IFERROR(INDEX(BD_PT!$A$2:$A$66,MATCH(B6,BD_PT!$B$2:$B$66,0)),""))</f>
        <v>FRES-03</v>
      </c>
      <c r="D6" s="24">
        <f>89*0.9567</f>
        <v>85.1463</v>
      </c>
      <c r="E6" s="24"/>
      <c r="F6" s="22" t="s">
        <v>147</v>
      </c>
    </row>
    <row r="7" ht="15.75" customHeight="1">
      <c r="A7" s="22">
        <v>1.0</v>
      </c>
      <c r="B7" s="22" t="s">
        <v>32</v>
      </c>
      <c r="C7" s="24" t="str">
        <f t="array" ref="C7">IF(B7="","",IFERROR(INDEX(BD_PT!$A$2:$A$66,MATCH(B7,BD_PT!$B$2:$B$66,0)),""))</f>
        <v>FRES-15</v>
      </c>
      <c r="D7" s="24">
        <f t="array" ref="D7">IF(B7="","",IFERROR(INDEX(BD_PT!$C$2:$C$66,MATCH(B7,BD_PT!$B$2:$B$66,0))*IF(A7="",1,A7),""))</f>
        <v>66</v>
      </c>
      <c r="E7" s="24"/>
      <c r="F7" s="24"/>
    </row>
    <row r="8" ht="15.75" customHeight="1">
      <c r="A8" s="22">
        <v>1.0</v>
      </c>
      <c r="B8" s="22" t="s">
        <v>56</v>
      </c>
      <c r="C8" s="24" t="str">
        <f t="array" ref="C8">IF(B8="","",IFERROR(INDEX(BD_PT!$A$2:$A$66,MATCH(B8,BD_PT!$B$2:$B$66,0)),""))</f>
        <v>POST-02</v>
      </c>
      <c r="D8" s="24">
        <f t="array" ref="D8">IF(B8="","",IFERROR(INDEX(BD_PT!$C$2:$C$66,MATCH(B8,BD_PT!$B$2:$B$66,0))*IF(A8="",1,A8),""))</f>
        <v>55</v>
      </c>
      <c r="E8" s="24"/>
      <c r="F8" s="22" t="s">
        <v>180</v>
      </c>
    </row>
    <row r="9" ht="15.75" customHeight="1">
      <c r="A9" s="22">
        <v>1.0</v>
      </c>
      <c r="B9" s="22" t="s">
        <v>56</v>
      </c>
      <c r="C9" s="24" t="str">
        <f t="array" ref="C9">IF(B9="","",IFERROR(INDEX(BD_PT!$A$2:$A$66,MATCH(B9,BD_PT!$B$2:$B$66,0)),""))</f>
        <v>POST-02</v>
      </c>
      <c r="D9" s="22">
        <v>0.0</v>
      </c>
      <c r="E9" s="24"/>
      <c r="F9" s="22" t="s">
        <v>181</v>
      </c>
    </row>
    <row r="10" ht="15.75" customHeight="1">
      <c r="A10" s="22">
        <v>1.0</v>
      </c>
      <c r="B10" s="22" t="s">
        <v>32</v>
      </c>
      <c r="C10" s="24" t="str">
        <f t="array" ref="C10">IF(B10="","",IFERROR(INDEX(BD_PT!$A$2:$A$66,MATCH(B10,BD_PT!$B$2:$B$66,0)),""))</f>
        <v>FRES-15</v>
      </c>
      <c r="D10" s="24">
        <f t="array" ref="D10">IF(B10="","",IFERROR(INDEX(BD_PT!$C$2:$C$66,MATCH(B10,BD_PT!$B$2:$B$66,0))*IF(A10="",1,A10),""))</f>
        <v>66</v>
      </c>
      <c r="E10" s="24"/>
      <c r="F10" s="24"/>
    </row>
    <row r="11" ht="15.75" customHeight="1">
      <c r="A11" s="22">
        <v>1.0</v>
      </c>
      <c r="B11" s="22" t="s">
        <v>4</v>
      </c>
      <c r="C11" s="24" t="str">
        <f t="array" ref="C11">IF(B11="","",IFERROR(INDEX(BD_PT!$A$2:$A$66,MATCH(B11,BD_PT!$B$2:$B$66,0)),""))</f>
        <v>FRES-01</v>
      </c>
      <c r="D11" s="24">
        <f t="array" ref="D11">IF(B11="","",IFERROR(INDEX(BD_PT!$C$2:$C$66,MATCH(B11,BD_PT!$B$2:$B$66,0))*IF(A11="",1,A11),""))</f>
        <v>46</v>
      </c>
      <c r="E11" s="24"/>
      <c r="F11" s="24"/>
    </row>
    <row r="12" ht="15.75" customHeight="1">
      <c r="A12" s="22">
        <v>1.0</v>
      </c>
      <c r="B12" s="22" t="s">
        <v>56</v>
      </c>
      <c r="C12" s="24" t="str">
        <f t="array" ref="C12">IF(B12="","",IFERROR(INDEX(BD_PT!$A$2:$A$66,MATCH(B12,BD_PT!$B$2:$B$66,0)),""))</f>
        <v>POST-02</v>
      </c>
      <c r="D12" s="22">
        <f>55*0.9567</f>
        <v>52.6185</v>
      </c>
      <c r="E12" s="24"/>
      <c r="F12" s="22" t="s">
        <v>147</v>
      </c>
    </row>
    <row r="13" ht="15.75" customHeight="1">
      <c r="A13" s="22">
        <v>1.0</v>
      </c>
      <c r="B13" s="22" t="s">
        <v>56</v>
      </c>
      <c r="C13" s="24" t="str">
        <f t="array" ref="C13">IF(B13="","",IFERROR(INDEX(BD_PT!$A$2:$A$66,MATCH(B13,BD_PT!$B$2:$B$66,0)),""))</f>
        <v>POST-02</v>
      </c>
      <c r="D13" s="22">
        <v>0.0</v>
      </c>
      <c r="E13" s="22">
        <v>55.0</v>
      </c>
      <c r="F13" s="22" t="s">
        <v>182</v>
      </c>
    </row>
    <row r="14" ht="15.75" customHeight="1">
      <c r="A14" s="22">
        <v>1.0</v>
      </c>
      <c r="B14" s="22" t="s">
        <v>64</v>
      </c>
      <c r="C14" s="24" t="str">
        <f t="array" ref="C14">IF(B14="","",IFERROR(INDEX(BD_PT!$A$2:$A$66,MATCH(B14,BD_PT!$B$2:$B$66,0)),""))</f>
        <v>POST-06</v>
      </c>
      <c r="D14" s="24">
        <f t="array" ref="D14">IF(B14="","",IFERROR(INDEX(BD_PT!$C$2:$C$66,MATCH(B14,BD_PT!$B$2:$B$66,0))*IF(A14="",1,A14),""))</f>
        <v>15</v>
      </c>
      <c r="E14" s="24"/>
      <c r="F14" s="24"/>
    </row>
    <row r="15" ht="15.75" customHeight="1">
      <c r="A15" s="22">
        <v>1.0</v>
      </c>
      <c r="B15" s="22" t="s">
        <v>12</v>
      </c>
      <c r="C15" s="24" t="str">
        <f t="array" ref="C15">IF(B15="","",IFERROR(INDEX(BD_PT!$A$2:$A$66,MATCH(B15,BD_PT!$B$2:$B$66,0)),""))</f>
        <v>FRES-05</v>
      </c>
      <c r="D15" s="24">
        <f t="array" ref="D15">IF(B15="","",IFERROR(INDEX(BD_PT!$C$2:$C$66,MATCH(B15,BD_PT!$B$2:$B$66,0))*IF(A15="",1,A15),""))</f>
        <v>55</v>
      </c>
      <c r="E15" s="24"/>
      <c r="F15" s="24"/>
    </row>
    <row r="16" ht="15.75" customHeight="1">
      <c r="A16" s="22">
        <v>1.0</v>
      </c>
      <c r="B16" s="22" t="s">
        <v>12</v>
      </c>
      <c r="C16" s="24" t="str">
        <f t="array" ref="C16">IF(B16="","",IFERROR(INDEX(BD_PT!$A$2:$A$66,MATCH(B16,BD_PT!$B$2:$B$66,0)),""))</f>
        <v>FRES-05</v>
      </c>
      <c r="D16" s="24">
        <f t="array" ref="D16">IF(B16="","",IFERROR(INDEX(BD_PT!$C$2:$C$66,MATCH(B16,BD_PT!$B$2:$B$66,0))*IF(A16="",1,A16),""))</f>
        <v>55</v>
      </c>
      <c r="E16" s="24"/>
      <c r="F16" s="24"/>
    </row>
    <row r="17" ht="15.75" customHeight="1">
      <c r="A17" s="22">
        <v>1.0</v>
      </c>
      <c r="B17" s="22" t="s">
        <v>44</v>
      </c>
      <c r="C17" s="24" t="str">
        <f t="array" ref="C17">IF(B17="","",IFERROR(INDEX(BD_PT!$A$2:$A$66,MATCH(B17,BD_PT!$B$2:$B$66,0)),""))</f>
        <v>GALL-01</v>
      </c>
      <c r="D17" s="24">
        <f t="array" ref="D17">IF(B17="","",IFERROR(INDEX(BD_PT!$C$2:$C$66,MATCH(B17,BD_PT!$B$2:$B$66,0))*IF(A17="",1,A17),""))</f>
        <v>39</v>
      </c>
      <c r="E17" s="24"/>
      <c r="F17" s="24"/>
    </row>
    <row r="18" ht="15.75" customHeight="1">
      <c r="A18" s="22">
        <v>1.0</v>
      </c>
      <c r="B18" s="22" t="s">
        <v>50</v>
      </c>
      <c r="C18" s="24" t="str">
        <f t="array" ref="C18">IF(B18="","",IFERROR(INDEX(BD_PT!$A$2:$A$66,MATCH(B18,BD_PT!$B$2:$B$66,0)),""))</f>
        <v>GALL-04</v>
      </c>
      <c r="D18" s="22">
        <v>0.0</v>
      </c>
      <c r="E18" s="22">
        <v>39.0</v>
      </c>
      <c r="F18" s="22" t="s">
        <v>183</v>
      </c>
    </row>
    <row r="19" ht="15.75" customHeight="1">
      <c r="A19" s="22">
        <v>1.0</v>
      </c>
      <c r="B19" s="22" t="s">
        <v>54</v>
      </c>
      <c r="C19" s="24" t="str">
        <f t="array" ref="C19">IF(B19="","",IFERROR(INDEX(BD_PT!$A$2:$A$66,MATCH(B19,BD_PT!$B$2:$B$66,0)),""))</f>
        <v>POST-01</v>
      </c>
      <c r="D19" s="24">
        <f t="array" ref="D19">IF(B19="","",IFERROR(INDEX(BD_PT!$C$2:$C$66,MATCH(B19,BD_PT!$B$2:$B$66,0))*IF(A19="",1,A19),""))</f>
        <v>55</v>
      </c>
      <c r="E19" s="24"/>
      <c r="F19" s="24"/>
    </row>
    <row r="20" ht="15.75" customHeight="1">
      <c r="A20" s="22">
        <v>1.0</v>
      </c>
      <c r="B20" s="22" t="s">
        <v>76</v>
      </c>
      <c r="C20" s="24" t="str">
        <f t="array" ref="C20">IF(B20="","",IFERROR(INDEX(BD_PT!$A$2:$A$66,MATCH(B20,BD_PT!$B$2:$B$66,0)),""))</f>
        <v>EXTR-01</v>
      </c>
      <c r="D20" s="24">
        <f t="array" ref="D20">IF(B20="","",IFERROR(INDEX(BD_PT!$C$2:$C$66,MATCH(B20,BD_PT!$B$2:$B$66,0))*IF(A20="",1,A20),""))</f>
        <v>10</v>
      </c>
      <c r="E20" s="24"/>
      <c r="F20" s="22" t="s">
        <v>155</v>
      </c>
    </row>
    <row r="21" ht="15.75" customHeight="1">
      <c r="A21" s="22">
        <v>1.0</v>
      </c>
      <c r="B21" s="22" t="s">
        <v>6</v>
      </c>
      <c r="C21" s="24" t="str">
        <f t="array" ref="C21">IF(B21="","",IFERROR(INDEX(BD_PT!$A$2:$A$66,MATCH(B21,BD_PT!$B$2:$B$66,0)),""))</f>
        <v>FRES-02</v>
      </c>
      <c r="D21" s="24">
        <f t="array" ref="D21">IF(B21="","",IFERROR(INDEX(BD_PT!$C$2:$C$66,MATCH(B21,BD_PT!$B$2:$B$66,0))*IF(A21="",1,A21),""))</f>
        <v>69</v>
      </c>
      <c r="E21" s="24"/>
    </row>
    <row r="22" ht="15.75" customHeight="1">
      <c r="A22" s="22">
        <v>1.0</v>
      </c>
      <c r="B22" s="22" t="s">
        <v>6</v>
      </c>
      <c r="C22" s="24" t="str">
        <f t="array" ref="C22">IF(B22="","",IFERROR(INDEX(BD_PT!$A$2:$A$66,MATCH(B22,BD_PT!$B$2:$B$66,0)),""))</f>
        <v>FRES-02</v>
      </c>
      <c r="D22" s="24">
        <f t="array" ref="D22">IF(B22="","",IFERROR(INDEX(BD_PT!$C$2:$C$66,MATCH(B22,BD_PT!$B$2:$B$66,0))*IF(A22="",1,A22),""))</f>
        <v>69</v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140</v>
      </c>
      <c r="I1" s="27">
        <v>1000.0</v>
      </c>
    </row>
    <row r="2" ht="15.75" customHeight="1">
      <c r="A2" s="22">
        <v>1.0</v>
      </c>
      <c r="B2" s="23" t="s">
        <v>54</v>
      </c>
      <c r="C2" s="24" t="str">
        <f t="array" ref="C2">IF(B2="","",IFERROR(INDEX(BD_PT!$A$2:$A$66,MATCH(B2,BD_PT!$B$2:$B$66,0)),""))</f>
        <v>POST-01</v>
      </c>
      <c r="D2" s="24">
        <f>55*0.9567</f>
        <v>52.6185</v>
      </c>
      <c r="E2" s="22">
        <v>55.0</v>
      </c>
      <c r="F2" s="22" t="s">
        <v>147</v>
      </c>
      <c r="H2" s="27" t="s">
        <v>151</v>
      </c>
      <c r="I2" s="27">
        <v>503.0</v>
      </c>
    </row>
    <row r="3" ht="15.75" customHeight="1">
      <c r="A3" s="22">
        <v>1.0</v>
      </c>
      <c r="B3" s="22" t="s">
        <v>56</v>
      </c>
      <c r="C3" s="24" t="str">
        <f t="array" ref="C3">IF(B3="","",IFERROR(INDEX(BD_PT!$A$2:$A$66,MATCH(B3,BD_PT!$B$2:$B$66,0)),""))</f>
        <v>POST-02</v>
      </c>
      <c r="D3" s="22">
        <v>0.0</v>
      </c>
      <c r="E3" s="22">
        <v>55.0</v>
      </c>
      <c r="F3" s="22" t="s">
        <v>156</v>
      </c>
      <c r="H3" s="27" t="s">
        <v>147</v>
      </c>
      <c r="I3" s="27">
        <v>52.77</v>
      </c>
    </row>
    <row r="4" ht="15.75" customHeight="1">
      <c r="A4" s="22">
        <v>1.0</v>
      </c>
      <c r="B4" s="22" t="s">
        <v>64</v>
      </c>
      <c r="C4" s="24" t="str">
        <f t="array" ref="C4">IF(B4="","",IFERROR(INDEX(BD_PT!$A$2:$A$66,MATCH(B4,BD_PT!$B$2:$B$66,0)),""))</f>
        <v>POST-06</v>
      </c>
      <c r="D4" s="24">
        <f t="array" ref="D4">IF(B4="","",IFERROR(INDEX(BD_PT!$C$2:$C$66,MATCH(B4,BD_PT!$B$2:$B$66,0))*IF(A4="",1,A4),""))</f>
        <v>15</v>
      </c>
      <c r="E4" s="24"/>
      <c r="F4" s="24"/>
    </row>
    <row r="5" ht="15.75" customHeight="1">
      <c r="A5" s="22">
        <v>1.0</v>
      </c>
      <c r="B5" s="22" t="s">
        <v>6</v>
      </c>
      <c r="C5" s="24" t="str">
        <f t="array" ref="C5">IF(B5="","",IFERROR(INDEX(BD_PT!$A$2:$A$66,MATCH(B5,BD_PT!$B$2:$B$66,0)),""))</f>
        <v>FRES-02</v>
      </c>
      <c r="D5" s="24">
        <f t="array" ref="D5">IF(B5="","",IFERROR(INDEX(BD_PT!$C$2:$C$66,MATCH(B5,BD_PT!$B$2:$B$66,0))*IF(A5="",1,A5),""))</f>
        <v>69</v>
      </c>
      <c r="E5" s="24"/>
      <c r="F5" s="24"/>
    </row>
    <row r="6" ht="15.75" customHeight="1">
      <c r="A6" s="22">
        <v>1.0</v>
      </c>
      <c r="B6" s="22" t="s">
        <v>4</v>
      </c>
      <c r="C6" s="24" t="str">
        <f t="array" ref="C6">IF(B6="","",IFERROR(INDEX(BD_PT!$A$2:$A$66,MATCH(B6,BD_PT!$B$2:$B$66,0)),""))</f>
        <v>FRES-01</v>
      </c>
      <c r="D6" s="24">
        <f t="array" ref="D6">IF(B6="","",IFERROR(INDEX(BD_PT!$C$2:$C$66,MATCH(B6,BD_PT!$B$2:$B$66,0))*IF(A6="",1,A6),""))</f>
        <v>46</v>
      </c>
      <c r="E6" s="24"/>
      <c r="F6" s="24"/>
    </row>
    <row r="7" ht="15.75" customHeight="1">
      <c r="A7" s="22">
        <v>1.0</v>
      </c>
      <c r="B7" s="22" t="s">
        <v>4</v>
      </c>
      <c r="C7" s="24" t="str">
        <f t="array" ref="C7">IF(B7="","",IFERROR(INDEX(BD_PT!$A$2:$A$66,MATCH(B7,BD_PT!$B$2:$B$66,0)),""))</f>
        <v>FRES-01</v>
      </c>
      <c r="D7" s="24">
        <f t="array" ref="D7">IF(B7="","",IFERROR(INDEX(BD_PT!$C$2:$C$66,MATCH(B7,BD_PT!$B$2:$B$66,0))*IF(A7="",1,A7),""))</f>
        <v>46</v>
      </c>
      <c r="E7" s="24"/>
      <c r="F7" s="24"/>
    </row>
    <row r="8" ht="15.75" customHeight="1">
      <c r="A8" s="22">
        <v>1.0</v>
      </c>
      <c r="B8" s="22" t="s">
        <v>60</v>
      </c>
      <c r="C8" s="24" t="str">
        <f t="array" ref="C8">IF(B8="","",IFERROR(INDEX(BD_PT!$A$2:$A$66,MATCH(B8,BD_PT!$B$2:$B$66,0)),""))</f>
        <v>POST-04</v>
      </c>
      <c r="D8" s="22">
        <v>15.0</v>
      </c>
      <c r="E8" s="24"/>
      <c r="F8" s="22" t="s">
        <v>184</v>
      </c>
    </row>
    <row r="9" ht="15.75" customHeight="1">
      <c r="A9" s="22">
        <v>1.0</v>
      </c>
      <c r="B9" s="22" t="s">
        <v>76</v>
      </c>
      <c r="C9" s="24" t="str">
        <f t="array" ref="C9">IF(B9="","",IFERROR(INDEX(BD_PT!$A$2:$A$66,MATCH(B9,BD_PT!$B$2:$B$66,0)),""))</f>
        <v>EXTR-01</v>
      </c>
      <c r="D9" s="24">
        <f t="array" ref="D9">IF(B9="","",IFERROR(INDEX(BD_PT!$C$2:$C$66,MATCH(B9,BD_PT!$B$2:$B$66,0))*IF(A9="",1,A9),""))</f>
        <v>10</v>
      </c>
      <c r="E9" s="24"/>
      <c r="F9" s="22" t="s">
        <v>178</v>
      </c>
    </row>
    <row r="10" ht="15.75" customHeight="1">
      <c r="A10" s="22">
        <v>2.0</v>
      </c>
      <c r="B10" s="22" t="s">
        <v>64</v>
      </c>
      <c r="C10" s="24" t="str">
        <f t="array" ref="C10">IF(B10="","",IFERROR(INDEX(BD_PT!$A$2:$A$66,MATCH(B10,BD_PT!$B$2:$B$66,0)),""))</f>
        <v>POST-06</v>
      </c>
      <c r="D10" s="22">
        <v>0.0</v>
      </c>
      <c r="E10" s="24"/>
      <c r="F10" s="22" t="s">
        <v>184</v>
      </c>
    </row>
    <row r="11" ht="15.75" customHeight="1">
      <c r="A11" s="22">
        <v>1.0</v>
      </c>
      <c r="B11" s="22" t="s">
        <v>6</v>
      </c>
      <c r="C11" s="24" t="str">
        <f t="array" ref="C11">IF(B11="","",IFERROR(INDEX(BD_PT!$A$2:$A$66,MATCH(B11,BD_PT!$B$2:$B$66,0)),""))</f>
        <v>FRES-02</v>
      </c>
      <c r="D11" s="24">
        <f t="array" ref="D11">IF(B11="","",IFERROR(INDEX(BD_PT!$C$2:$C$66,MATCH(B11,BD_PT!$B$2:$B$66,0))*IF(A11="",1,A11),""))</f>
        <v>69</v>
      </c>
      <c r="E11" s="24"/>
      <c r="F11" s="24"/>
    </row>
    <row r="12" ht="15.75" customHeight="1">
      <c r="A12" s="22">
        <v>1.0</v>
      </c>
      <c r="B12" s="22" t="s">
        <v>99</v>
      </c>
      <c r="C12" s="24" t="str">
        <f t="array" ref="C12">IF(B12="","",IFERROR(INDEX(BD_PT!$A$2:$A$66,MATCH(B12,BD_PT!$B$2:$B$66,0)),""))</f>
        <v>AC2T5</v>
      </c>
      <c r="D12" s="22">
        <v>155.0</v>
      </c>
      <c r="E12" s="24"/>
      <c r="F12" s="22" t="s">
        <v>141</v>
      </c>
    </row>
    <row r="13" ht="15.75" customHeight="1">
      <c r="A13" s="22">
        <v>1.0</v>
      </c>
      <c r="B13" s="22" t="s">
        <v>101</v>
      </c>
      <c r="C13" s="24" t="str">
        <f t="array" ref="C13">IF(B13="","",IFERROR(INDEX(BD_PT!$A$2:$A$66,MATCH(B13,BD_PT!$B$2:$B$66,0)),""))</f>
        <v>AC3</v>
      </c>
      <c r="D13" s="22">
        <v>0.0</v>
      </c>
      <c r="E13" s="24"/>
      <c r="F13" s="22" t="s">
        <v>185</v>
      </c>
    </row>
    <row r="14" ht="15.75" customHeight="1">
      <c r="A14" s="22">
        <v>1.0</v>
      </c>
      <c r="B14" s="22" t="s">
        <v>44</v>
      </c>
      <c r="C14" s="24" t="str">
        <f t="array" ref="C14">IF(B14="","",IFERROR(INDEX(BD_PT!$A$2:$A$66,MATCH(B14,BD_PT!$B$2:$B$66,0)),""))</f>
        <v>GALL-01</v>
      </c>
      <c r="D14" s="24">
        <f t="array" ref="D14">IF(B14="","",IFERROR(INDEX(BD_PT!$C$2:$C$66,MATCH(B14,BD_PT!$B$2:$B$66,0))*IF(A14="",1,A14),""))</f>
        <v>39</v>
      </c>
      <c r="E14" s="24"/>
      <c r="F14" s="24"/>
    </row>
    <row r="15" ht="15.75" customHeight="1">
      <c r="A15" s="22">
        <v>1.0</v>
      </c>
      <c r="B15" s="22" t="s">
        <v>48</v>
      </c>
      <c r="C15" s="24" t="str">
        <f t="array" ref="C15">IF(B15="","",IFERROR(INDEX(BD_PT!$A$2:$A$66,MATCH(B15,BD_PT!$B$2:$B$66,0)),""))</f>
        <v>GALL-03</v>
      </c>
      <c r="D15" s="24">
        <f t="array" ref="D15">IF(B15="","",IFERROR(INDEX(BD_PT!$C$2:$C$66,MATCH(B15,BD_PT!$B$2:$B$66,0))*IF(A15="",1,A15),""))</f>
        <v>39</v>
      </c>
      <c r="E15" s="24"/>
      <c r="F15" s="24"/>
    </row>
    <row r="16" ht="15.75" customHeight="1">
      <c r="A16" s="22">
        <v>1.0</v>
      </c>
      <c r="B16" s="22" t="s">
        <v>60</v>
      </c>
      <c r="C16" s="24" t="str">
        <f t="array" ref="C16">IF(B16="","",IFERROR(INDEX(BD_PT!$A$2:$A$66,MATCH(B16,BD_PT!$B$2:$B$66,0)),""))</f>
        <v>POST-04</v>
      </c>
      <c r="D16" s="22">
        <v>0.0</v>
      </c>
      <c r="E16" s="24"/>
      <c r="F16" s="22" t="s">
        <v>186</v>
      </c>
    </row>
    <row r="17" ht="15.75" customHeight="1">
      <c r="A17" s="22">
        <v>1.0</v>
      </c>
      <c r="B17" s="22" t="s">
        <v>4</v>
      </c>
      <c r="C17" s="24" t="str">
        <f t="array" ref="C17">IF(B17="","",IFERROR(INDEX(BD_PT!$A$2:$A$66,MATCH(B17,BD_PT!$B$2:$B$66,0)),""))</f>
        <v>FRES-01</v>
      </c>
      <c r="D17" s="24">
        <f t="array" ref="D17">IF(B17="","",IFERROR(INDEX(BD_PT!$C$2:$C$66,MATCH(B17,BD_PT!$B$2:$B$66,0))*IF(A17="",1,A17),""))</f>
        <v>46</v>
      </c>
      <c r="E17" s="24"/>
      <c r="F17" s="24"/>
    </row>
    <row r="18" ht="15.75" customHeight="1">
      <c r="A18" s="24"/>
      <c r="B18" s="24"/>
      <c r="C18" s="24" t="str">
        <f t="array" ref="C18">IF(B18="","",IFERROR(INDEX(BD_PT!$A$2:$A$66,MATCH(B18,BD_PT!$B$2:$B$66,0)),""))</f>
        <v/>
      </c>
      <c r="D18" s="24" t="str">
        <f t="array" ref="D18">IF(B18="","",IFERROR(INDEX(BD_PT!$C$2:$C$66,MATCH(B18,BD_PT!$B$2:$B$66,0))*IF(A18="",1,A18),""))</f>
        <v/>
      </c>
      <c r="E18" s="24"/>
      <c r="F18" s="24"/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  <col customWidth="1" min="8" max="8" width="17.88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140</v>
      </c>
      <c r="I1" s="27">
        <v>1000.0</v>
      </c>
    </row>
    <row r="2" ht="15.75" customHeight="1">
      <c r="A2" s="22">
        <v>1.0</v>
      </c>
      <c r="B2" s="23" t="s">
        <v>56</v>
      </c>
      <c r="C2" s="24" t="str">
        <f t="array" ref="C2">IF(B2="","",IFERROR(INDEX(BD_PT!$A$2:$A$66,MATCH(B2,BD_PT!$B$2:$B$66,0)),""))</f>
        <v>POST-02</v>
      </c>
      <c r="D2" s="24">
        <f t="array" ref="D2">IF(B2="","",IFERROR(INDEX(BD_PT!$C$2:$C$66,MATCH(B2,BD_PT!$B$2:$B$66,0))*IF(A2="",1,A2),""))</f>
        <v>55</v>
      </c>
      <c r="E2" s="24"/>
      <c r="F2" s="24"/>
      <c r="H2" s="27" t="s">
        <v>151</v>
      </c>
      <c r="I2" s="27">
        <v>505.0</v>
      </c>
    </row>
    <row r="3" ht="15.75" customHeight="1">
      <c r="A3" s="22">
        <v>1.0</v>
      </c>
      <c r="B3" s="22" t="s">
        <v>66</v>
      </c>
      <c r="C3" s="24" t="str">
        <f t="array" ref="C3">IF(B3="","",IFERROR(INDEX(BD_PT!$A$2:$A$66,MATCH(B3,BD_PT!$B$2:$B$66,0)),""))</f>
        <v>POST-07</v>
      </c>
      <c r="D3" s="22">
        <v>0.0</v>
      </c>
      <c r="E3" s="22">
        <v>44.0</v>
      </c>
      <c r="F3" s="22" t="s">
        <v>156</v>
      </c>
      <c r="H3" s="27" t="s">
        <v>169</v>
      </c>
      <c r="I3" s="27">
        <v>86.35</v>
      </c>
    </row>
    <row r="4" ht="15.75" customHeight="1">
      <c r="A4" s="22">
        <v>1.0</v>
      </c>
      <c r="B4" s="22" t="s">
        <v>48</v>
      </c>
      <c r="C4" s="24" t="str">
        <f t="array" ref="C4">IF(B4="","",IFERROR(INDEX(BD_PT!$A$2:$A$66,MATCH(B4,BD_PT!$B$2:$B$66,0)),""))</f>
        <v>GALL-03</v>
      </c>
      <c r="D4" s="24">
        <f t="array" ref="D4">IF(B4="","",IFERROR(INDEX(BD_PT!$C$2:$C$66,MATCH(B4,BD_PT!$B$2:$B$66,0))*IF(A4="",1,A4),""))</f>
        <v>39</v>
      </c>
      <c r="E4" s="24"/>
      <c r="F4" s="24"/>
    </row>
    <row r="5" ht="15.75" customHeight="1">
      <c r="A5" s="22">
        <v>1.0</v>
      </c>
      <c r="B5" s="22" t="s">
        <v>50</v>
      </c>
      <c r="C5" s="24" t="str">
        <f t="array" ref="C5">IF(B5="","",IFERROR(INDEX(BD_PT!$A$2:$A$66,MATCH(B5,BD_PT!$B$2:$B$66,0)),""))</f>
        <v>GALL-04</v>
      </c>
      <c r="D5" s="24">
        <f t="array" ref="D5">IF(B5="","",IFERROR(INDEX(BD_PT!$C$2:$C$66,MATCH(B5,BD_PT!$B$2:$B$66,0))*IF(A5="",1,A5),""))</f>
        <v>39</v>
      </c>
      <c r="E5" s="24"/>
      <c r="F5" s="24"/>
    </row>
    <row r="6" ht="15.75" customHeight="1">
      <c r="A6" s="22">
        <v>1.0</v>
      </c>
      <c r="B6" s="22" t="s">
        <v>60</v>
      </c>
      <c r="C6" s="24" t="str">
        <f t="array" ref="C6">IF(B6="","",IFERROR(INDEX(BD_PT!$A$2:$A$66,MATCH(B6,BD_PT!$B$2:$B$66,0)),""))</f>
        <v>POST-04</v>
      </c>
      <c r="D6" s="22">
        <v>0.0</v>
      </c>
      <c r="E6" s="24"/>
      <c r="F6" s="22" t="s">
        <v>184</v>
      </c>
    </row>
    <row r="7" ht="15.75" customHeight="1">
      <c r="A7" s="22">
        <v>1.0</v>
      </c>
      <c r="B7" s="22" t="s">
        <v>101</v>
      </c>
      <c r="C7" s="24" t="str">
        <f t="array" ref="C7">IF(B7="","",IFERROR(INDEX(BD_PT!$A$2:$A$66,MATCH(B7,BD_PT!$B$2:$B$66,0)),""))</f>
        <v>AC3</v>
      </c>
      <c r="D7" s="24">
        <f>90*0.9567</f>
        <v>86.103</v>
      </c>
      <c r="E7" s="24"/>
      <c r="F7" s="22" t="s">
        <v>187</v>
      </c>
    </row>
    <row r="8" ht="15.75" customHeight="1">
      <c r="A8" s="22">
        <v>1.0</v>
      </c>
      <c r="B8" s="22" t="s">
        <v>99</v>
      </c>
      <c r="C8" s="24" t="str">
        <f t="array" ref="C8">IF(B8="","",IFERROR(INDEX(BD_PT!$A$2:$A$66,MATCH(B8,BD_PT!$B$2:$B$66,0)),""))</f>
        <v>AC2T5</v>
      </c>
      <c r="D8" s="22">
        <v>145.0</v>
      </c>
      <c r="E8" s="24"/>
      <c r="F8" s="22" t="s">
        <v>141</v>
      </c>
    </row>
    <row r="9" ht="15.75" customHeight="1">
      <c r="A9" s="22">
        <v>1.0</v>
      </c>
      <c r="B9" s="22" t="s">
        <v>101</v>
      </c>
      <c r="C9" s="24" t="str">
        <f t="array" ref="C9">IF(B9="","",IFERROR(INDEX(BD_PT!$A$2:$A$66,MATCH(B9,BD_PT!$B$2:$B$66,0)),""))</f>
        <v>AC3</v>
      </c>
      <c r="D9" s="22">
        <v>90.0</v>
      </c>
      <c r="E9" s="24"/>
      <c r="F9" s="22" t="s">
        <v>150</v>
      </c>
    </row>
    <row r="10" ht="15.75" customHeight="1">
      <c r="A10" s="22">
        <v>1.0</v>
      </c>
      <c r="B10" s="22" t="s">
        <v>96</v>
      </c>
      <c r="C10" s="24" t="str">
        <f t="array" ref="C10">IF(B10="","",IFERROR(INDEX(BD_PT!$A$2:$A$66,MATCH(B10,BD_PT!$B$2:$B$66,0)),""))</f>
        <v>AC2.5</v>
      </c>
      <c r="D10" s="22">
        <v>137.0</v>
      </c>
      <c r="E10" s="24"/>
      <c r="F10" s="22" t="s">
        <v>188</v>
      </c>
    </row>
    <row r="11" ht="15.75" customHeight="1">
      <c r="A11" s="24"/>
      <c r="B11" s="24"/>
      <c r="C11" s="24" t="str">
        <f t="array" ref="C11">IF(B11="","",IFERROR(INDEX(BD_PT!$A$2:$A$66,MATCH(B11,BD_PT!$B$2:$B$66,0)),""))</f>
        <v/>
      </c>
      <c r="D11" s="24" t="str">
        <f t="array" ref="D11">IF(B11="","",IFERROR(INDEX(BD_PT!$C$2:$C$66,MATCH(B11,BD_PT!$B$2:$B$66,0))*IF(A11="",1,A11),""))</f>
        <v/>
      </c>
      <c r="E11" s="24"/>
      <c r="F11" s="24"/>
    </row>
    <row r="12" ht="15.75" customHeight="1">
      <c r="A12" s="24"/>
      <c r="B12" s="24"/>
      <c r="C12" s="24" t="str">
        <f t="array" ref="C12">IF(B12="","",IFERROR(INDEX(BD_PT!$A$2:$A$66,MATCH(B12,BD_PT!$B$2:$B$66,0)),""))</f>
        <v/>
      </c>
      <c r="D12" s="24" t="str">
        <f t="array" ref="D12">IF(B12="","",IFERROR(INDEX(BD_PT!$C$2:$C$66,MATCH(B12,BD_PT!$B$2:$B$66,0))*IF(A12="",1,A12),""))</f>
        <v/>
      </c>
      <c r="E12" s="24"/>
      <c r="F12" s="24"/>
    </row>
    <row r="13" ht="15.75" customHeight="1">
      <c r="A13" s="24"/>
      <c r="B13" s="24"/>
      <c r="C13" s="24" t="str">
        <f t="array" ref="C13">IF(B13="","",IFERROR(INDEX(BD_PT!$A$2:$A$66,MATCH(B13,BD_PT!$B$2:$B$66,0)),""))</f>
        <v/>
      </c>
      <c r="D13" s="24" t="str">
        <f t="array" ref="D13">IF(B13="","",IFERROR(INDEX(BD_PT!$C$2:$C$66,MATCH(B13,BD_PT!$B$2:$B$66,0))*IF(A13="",1,A13),""))</f>
        <v/>
      </c>
      <c r="E13" s="24"/>
      <c r="F13" s="24"/>
    </row>
    <row r="14" ht="15.75" customHeight="1">
      <c r="A14" s="24"/>
      <c r="B14" s="24"/>
      <c r="C14" s="24" t="str">
        <f t="array" ref="C14">IF(B14="","",IFERROR(INDEX(BD_PT!$A$2:$A$66,MATCH(B14,BD_PT!$B$2:$B$66,0)),""))</f>
        <v/>
      </c>
      <c r="D14" s="24" t="str">
        <f t="array" ref="D14">IF(B14="","",IFERROR(INDEX(BD_PT!$C$2:$C$66,MATCH(B14,BD_PT!$B$2:$B$66,0))*IF(A14="",1,A14),""))</f>
        <v/>
      </c>
      <c r="E14" s="24"/>
      <c r="F14" s="24"/>
    </row>
    <row r="15" ht="15.75" customHeight="1">
      <c r="A15" s="24"/>
      <c r="B15" s="24"/>
      <c r="C15" s="24" t="str">
        <f t="array" ref="C15">IF(B15="","",IFERROR(INDEX(BD_PT!$A$2:$A$66,MATCH(B15,BD_PT!$B$2:$B$66,0)),""))</f>
        <v/>
      </c>
      <c r="D15" s="24" t="str">
        <f t="array" ref="D15">IF(B15="","",IFERROR(INDEX(BD_PT!$C$2:$C$66,MATCH(B15,BD_PT!$B$2:$B$66,0))*IF(A15="",1,A15),""))</f>
        <v/>
      </c>
      <c r="E15" s="24"/>
      <c r="F15" s="24"/>
    </row>
    <row r="16" ht="15.75" customHeight="1">
      <c r="A16" s="24"/>
      <c r="B16" s="24"/>
      <c r="C16" s="24" t="str">
        <f t="array" ref="C16">IF(B16="","",IFERROR(INDEX(BD_PT!$A$2:$A$66,MATCH(B16,BD_PT!$B$2:$B$66,0)),""))</f>
        <v/>
      </c>
      <c r="D16" s="24" t="str">
        <f t="array" ref="D16">IF(B16="","",IFERROR(INDEX(BD_PT!$C$2:$C$66,MATCH(B16,BD_PT!$B$2:$B$66,0))*IF(A16="",1,A16),""))</f>
        <v/>
      </c>
      <c r="E16" s="24"/>
      <c r="F16" s="24"/>
    </row>
    <row r="17" ht="15.75" customHeight="1">
      <c r="A17" s="24"/>
      <c r="B17" s="24"/>
      <c r="C17" s="24" t="str">
        <f t="array" ref="C17">IF(B17="","",IFERROR(INDEX(BD_PT!$A$2:$A$66,MATCH(B17,BD_PT!$B$2:$B$66,0)),""))</f>
        <v/>
      </c>
      <c r="D17" s="24" t="str">
        <f t="array" ref="D17">IF(B17="","",IFERROR(INDEX(BD_PT!$C$2:$C$66,MATCH(B17,BD_PT!$B$2:$B$66,0))*IF(A17="",1,A17),""))</f>
        <v/>
      </c>
      <c r="E17" s="24"/>
      <c r="F17" s="24"/>
    </row>
    <row r="18" ht="15.75" customHeight="1">
      <c r="A18" s="24"/>
      <c r="B18" s="24"/>
      <c r="C18" s="24" t="str">
        <f t="array" ref="C18">IF(B18="","",IFERROR(INDEX(BD_PT!$A$2:$A$66,MATCH(B18,BD_PT!$B$2:$B$66,0)),""))</f>
        <v/>
      </c>
      <c r="D18" s="24" t="str">
        <f t="array" ref="D18">IF(B18="","",IFERROR(INDEX(BD_PT!$C$2:$C$66,MATCH(B18,BD_PT!$B$2:$B$66,0))*IF(A18="",1,A18),""))</f>
        <v/>
      </c>
      <c r="E18" s="24"/>
      <c r="F18" s="24"/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140</v>
      </c>
      <c r="I1" s="27">
        <v>1000.0</v>
      </c>
    </row>
    <row r="2" ht="15.75" customHeight="1">
      <c r="A2" s="22">
        <v>1.0</v>
      </c>
      <c r="B2" s="23" t="s">
        <v>64</v>
      </c>
      <c r="C2" s="24" t="str">
        <f t="array" ref="C2">IF(B2="","",IFERROR(INDEX(BD_PT!$A$2:$A$66,MATCH(B2,BD_PT!$B$2:$B$66,0)),""))</f>
        <v>POST-06</v>
      </c>
      <c r="D2" s="24">
        <f t="array" ref="D2">IF(B2="","",IFERROR(INDEX(BD_PT!$C$2:$C$66,MATCH(B2,BD_PT!$B$2:$B$66,0))*IF(A2="",1,A2),""))</f>
        <v>15</v>
      </c>
      <c r="E2" s="24"/>
      <c r="F2" s="24"/>
      <c r="H2" s="27" t="s">
        <v>151</v>
      </c>
      <c r="I2" s="27">
        <v>1040.0</v>
      </c>
    </row>
    <row r="3" ht="15.75" customHeight="1">
      <c r="A3" s="22">
        <v>1.0</v>
      </c>
      <c r="B3" s="22" t="s">
        <v>4</v>
      </c>
      <c r="C3" s="24" t="str">
        <f t="array" ref="C3">IF(B3="","",IFERROR(INDEX(BD_PT!$A$2:$A$66,MATCH(B3,BD_PT!$B$2:$B$66,0)),""))</f>
        <v>FRES-01</v>
      </c>
      <c r="D3" s="24">
        <f t="array" ref="D3">IF(B3="","",IFERROR(INDEX(BD_PT!$C$2:$C$66,MATCH(B3,BD_PT!$B$2:$B$66,0))*IF(A3="",1,A3),""))</f>
        <v>46</v>
      </c>
      <c r="E3" s="24"/>
      <c r="F3" s="24"/>
      <c r="H3" s="27" t="s">
        <v>147</v>
      </c>
      <c r="I3" s="27">
        <v>229.3</v>
      </c>
    </row>
    <row r="4" ht="15.75" customHeight="1">
      <c r="A4" s="22">
        <v>1.0</v>
      </c>
      <c r="B4" s="22" t="s">
        <v>76</v>
      </c>
      <c r="C4" s="24" t="str">
        <f t="array" ref="C4">IF(B4="","",IFERROR(INDEX(BD_PT!$A$2:$A$66,MATCH(B4,BD_PT!$B$2:$B$66,0)),""))</f>
        <v>EXTR-01</v>
      </c>
      <c r="D4" s="24">
        <f t="array" ref="D4">IF(B4="","",IFERROR(INDEX(BD_PT!$C$2:$C$66,MATCH(B4,BD_PT!$B$2:$B$66,0))*IF(A4="",1,A4),""))</f>
        <v>10</v>
      </c>
      <c r="E4" s="24"/>
      <c r="F4" s="22" t="s">
        <v>155</v>
      </c>
    </row>
    <row r="5" ht="15.75" customHeight="1">
      <c r="A5" s="22">
        <v>1.0</v>
      </c>
      <c r="B5" s="22" t="s">
        <v>76</v>
      </c>
      <c r="C5" s="24" t="str">
        <f t="array" ref="C5">IF(B5="","",IFERROR(INDEX(BD_PT!$A$2:$A$66,MATCH(B5,BD_PT!$B$2:$B$66,0)),""))</f>
        <v>EXTR-01</v>
      </c>
      <c r="D5" s="24">
        <f t="array" ref="D5">IF(B5="","",IFERROR(INDEX(BD_PT!$C$2:$C$66,MATCH(B5,BD_PT!$B$2:$B$66,0))*IF(A5="",1,A5),""))</f>
        <v>10</v>
      </c>
      <c r="E5" s="24"/>
      <c r="F5" s="22" t="s">
        <v>155</v>
      </c>
    </row>
    <row r="6" ht="15.75" customHeight="1">
      <c r="A6" s="22">
        <v>1.0</v>
      </c>
      <c r="B6" s="22" t="s">
        <v>101</v>
      </c>
      <c r="C6" s="24" t="str">
        <f t="array" ref="C6">IF(B6="","",IFERROR(INDEX(BD_PT!$A$2:$A$66,MATCH(B6,BD_PT!$B$2:$B$66,0)),""))</f>
        <v>AC3</v>
      </c>
      <c r="D6" s="22">
        <v>89.0</v>
      </c>
      <c r="E6" s="24"/>
      <c r="F6" s="22" t="s">
        <v>164</v>
      </c>
    </row>
    <row r="7" ht="15.75" customHeight="1">
      <c r="A7" s="22">
        <v>1.0</v>
      </c>
      <c r="B7" s="22" t="s">
        <v>64</v>
      </c>
      <c r="C7" s="24" t="str">
        <f t="array" ref="C7">IF(B7="","",IFERROR(INDEX(BD_PT!$A$2:$A$66,MATCH(B7,BD_PT!$B$2:$B$66,0)),""))</f>
        <v>POST-06</v>
      </c>
      <c r="D7" s="24">
        <f t="array" ref="D7">IF(B7="","",IFERROR(INDEX(BD_PT!$C$2:$C$66,MATCH(B7,BD_PT!$B$2:$B$66,0))*IF(A7="",1,A7),""))</f>
        <v>15</v>
      </c>
      <c r="E7" s="24"/>
      <c r="F7" s="24"/>
    </row>
    <row r="8" ht="15.75" customHeight="1">
      <c r="A8" s="22">
        <v>1.0</v>
      </c>
      <c r="B8" s="22" t="s">
        <v>48</v>
      </c>
      <c r="C8" s="24" t="str">
        <f t="array" ref="C8">IF(B8="","",IFERROR(INDEX(BD_PT!$A$2:$A$66,MATCH(B8,BD_PT!$B$2:$B$66,0)),""))</f>
        <v>GALL-03</v>
      </c>
      <c r="D8" s="24">
        <f t="array" ref="D8">IF(B8="","",IFERROR(INDEX(BD_PT!$C$2:$C$66,MATCH(B8,BD_PT!$B$2:$B$66,0))*IF(A8="",1,A8),""))</f>
        <v>39</v>
      </c>
      <c r="E8" s="24"/>
      <c r="F8" s="24"/>
    </row>
    <row r="9" ht="15.75" customHeight="1">
      <c r="A9" s="22">
        <v>1.0</v>
      </c>
      <c r="B9" s="22" t="s">
        <v>101</v>
      </c>
      <c r="C9" s="24" t="str">
        <f t="array" ref="C9">IF(B9="","",IFERROR(INDEX(BD_PT!$A$2:$A$66,MATCH(B9,BD_PT!$B$2:$B$66,0)),""))</f>
        <v>AC3</v>
      </c>
      <c r="D9" s="22">
        <v>135.0</v>
      </c>
      <c r="E9" s="24"/>
      <c r="F9" s="22" t="s">
        <v>165</v>
      </c>
    </row>
    <row r="10" ht="15.75" customHeight="1">
      <c r="A10" s="22">
        <v>2.0</v>
      </c>
      <c r="B10" s="22" t="s">
        <v>76</v>
      </c>
      <c r="C10" s="24" t="str">
        <f t="array" ref="C10">IF(B10="","",IFERROR(INDEX(BD_PT!$A$2:$A$66,MATCH(B10,BD_PT!$B$2:$B$66,0)),""))</f>
        <v>EXTR-01</v>
      </c>
      <c r="D10" s="24">
        <f t="array" ref="D10">IF(B10="","",IFERROR(INDEX(BD_PT!$C$2:$C$66,MATCH(B10,BD_PT!$B$2:$B$66,0))*IF(A10="",1,A10),""))</f>
        <v>20</v>
      </c>
      <c r="E10" s="24"/>
      <c r="F10" s="22" t="s">
        <v>154</v>
      </c>
    </row>
    <row r="11" ht="15.75" customHeight="1">
      <c r="A11" s="22">
        <v>1.0</v>
      </c>
      <c r="B11" s="22" t="s">
        <v>4</v>
      </c>
      <c r="C11" s="24" t="str">
        <f t="array" ref="C11">IF(B11="","",IFERROR(INDEX(BD_PT!$A$2:$A$66,MATCH(B11,BD_PT!$B$2:$B$66,0)),""))</f>
        <v>FRES-01</v>
      </c>
      <c r="D11" s="24">
        <f t="array" ref="D11">IF(B11="","",IFERROR(INDEX(BD_PT!$C$2:$C$66,MATCH(B11,BD_PT!$B$2:$B$66,0))*IF(A11="",1,A11),""))</f>
        <v>46</v>
      </c>
      <c r="E11" s="24"/>
      <c r="F11" s="24"/>
    </row>
    <row r="12" ht="15.75" customHeight="1">
      <c r="A12" s="22">
        <v>1.0</v>
      </c>
      <c r="B12" s="30" t="s">
        <v>6</v>
      </c>
      <c r="C12" s="24" t="str">
        <f t="array" ref="C12">IF(B12="","",IFERROR(INDEX(BD_PT!$A$2:$A$66,MATCH(B12,BD_PT!$B$2:$B$66,0)),""))</f>
        <v>FRES-02</v>
      </c>
      <c r="D12" s="24">
        <f t="array" ref="D12">IF(B12="","",IFERROR(INDEX(BD_PT!$C$2:$C$66,MATCH(B12,BD_PT!$B$2:$B$66,0))*IF(A12="",1,A12),""))</f>
        <v>69</v>
      </c>
      <c r="E12" s="24"/>
      <c r="F12" s="24"/>
    </row>
    <row r="13" ht="15.75" customHeight="1">
      <c r="A13" s="22">
        <v>1.0</v>
      </c>
      <c r="B13" s="22" t="s">
        <v>8</v>
      </c>
      <c r="C13" s="24" t="str">
        <f t="array" ref="C13">IF(B13="","",IFERROR(INDEX(BD_PT!$A$2:$A$66,MATCH(B13,BD_PT!$B$2:$B$66,0)),""))</f>
        <v>FRES-03</v>
      </c>
      <c r="D13" s="24">
        <f>89*0.9567</f>
        <v>85.1463</v>
      </c>
      <c r="E13" s="22">
        <v>89.0</v>
      </c>
      <c r="F13" s="22" t="s">
        <v>147</v>
      </c>
    </row>
    <row r="14" ht="15.75" customHeight="1">
      <c r="A14" s="22">
        <v>1.0</v>
      </c>
      <c r="B14" s="22" t="s">
        <v>72</v>
      </c>
      <c r="C14" s="24" t="str">
        <f t="array" ref="C14">IF(B14="","",IFERROR(INDEX(BD_PT!$A$2:$A$66,MATCH(B14,BD_PT!$B$2:$B$66,0)),""))</f>
        <v>POST-10</v>
      </c>
      <c r="D14" s="24">
        <f t="array" ref="D14">IF(B14="","",IFERROR(INDEX(BD_PT!$C$2:$C$66,MATCH(B14,BD_PT!$B$2:$B$66,0))*IF(A14="",1,A14),""))</f>
        <v>20</v>
      </c>
      <c r="E14" s="24"/>
      <c r="F14" s="24"/>
    </row>
    <row r="15" ht="15.75" customHeight="1">
      <c r="A15" s="22">
        <v>1.0</v>
      </c>
      <c r="B15" s="22" t="s">
        <v>62</v>
      </c>
      <c r="C15" s="24" t="str">
        <f t="array" ref="C15">IF(B15="","",IFERROR(INDEX(BD_PT!$A$2:$A$66,MATCH(B15,BD_PT!$B$2:$B$66,0)),""))</f>
        <v>POST-05</v>
      </c>
      <c r="D15" s="24">
        <f t="array" ref="D15">IF(B15="","",IFERROR(INDEX(BD_PT!$C$2:$C$66,MATCH(B15,BD_PT!$B$2:$B$66,0))*IF(A15="",1,A15),""))</f>
        <v>11</v>
      </c>
      <c r="E15" s="24"/>
      <c r="F15" s="24"/>
    </row>
    <row r="16" ht="15.75" customHeight="1">
      <c r="A16" s="22">
        <v>1.0</v>
      </c>
      <c r="B16" s="22" t="s">
        <v>8</v>
      </c>
      <c r="C16" s="24" t="str">
        <f t="array" ref="C16">IF(B16="","",IFERROR(INDEX(BD_PT!$A$2:$A$66,MATCH(B16,BD_PT!$B$2:$B$66,0)),""))</f>
        <v>FRES-03</v>
      </c>
      <c r="D16" s="24">
        <f t="array" ref="D16">IF(B16="","",IFERROR(INDEX(BD_PT!$C$2:$C$66,MATCH(B16,BD_PT!$B$2:$B$66,0))*IF(A16="",1,A16),""))</f>
        <v>89</v>
      </c>
      <c r="E16" s="24"/>
      <c r="F16" s="24"/>
    </row>
    <row r="17" ht="15.75" customHeight="1">
      <c r="A17" s="22">
        <v>1.0</v>
      </c>
      <c r="B17" s="22" t="s">
        <v>6</v>
      </c>
      <c r="C17" s="24" t="str">
        <f t="array" ref="C17">IF(B17="","",IFERROR(INDEX(BD_PT!$A$2:$A$66,MATCH(B17,BD_PT!$B$2:$B$66,0)),""))</f>
        <v>FRES-02</v>
      </c>
      <c r="D17" s="24">
        <f t="array" ref="D17">IF(B17="","",IFERROR(INDEX(BD_PT!$C$2:$C$66,MATCH(B17,BD_PT!$B$2:$B$66,0))*IF(A17="",1,A17),""))</f>
        <v>69</v>
      </c>
      <c r="E17" s="24"/>
      <c r="F17" s="24"/>
    </row>
    <row r="18" ht="15.75" customHeight="1">
      <c r="A18" s="22">
        <v>1.0</v>
      </c>
      <c r="B18" s="22" t="s">
        <v>18</v>
      </c>
      <c r="C18" s="24" t="str">
        <f t="array" ref="C18">IF(B18="","",IFERROR(INDEX(BD_PT!$A$2:$A$66,MATCH(B18,BD_PT!$B$2:$B$66,0)),""))</f>
        <v>FRES-08</v>
      </c>
      <c r="D18" s="24">
        <f t="array" ref="D18">IF(B18="","",IFERROR(INDEX(BD_PT!$C$2:$C$66,MATCH(B18,BD_PT!$B$2:$B$66,0))*IF(A18="",1,A18),""))</f>
        <v>55</v>
      </c>
      <c r="E18" s="24"/>
      <c r="F18" s="24"/>
    </row>
    <row r="19" ht="15.75" customHeight="1">
      <c r="A19" s="22">
        <v>1.0</v>
      </c>
      <c r="B19" s="22" t="s">
        <v>56</v>
      </c>
      <c r="C19" s="24" t="str">
        <f t="array" ref="C19">IF(B19="","",IFERROR(INDEX(BD_PT!$A$2:$A$66,MATCH(B19,BD_PT!$B$2:$B$66,0)),""))</f>
        <v>POST-02</v>
      </c>
      <c r="D19" s="24">
        <f t="array" ref="D19">IF(B19="","",IFERROR(INDEX(BD_PT!$C$2:$C$66,MATCH(B19,BD_PT!$B$2:$B$66,0))*IF(A19="",1,A19),""))</f>
        <v>55</v>
      </c>
      <c r="E19" s="24"/>
      <c r="F19" s="24"/>
    </row>
    <row r="20" ht="15.75" customHeight="1">
      <c r="A20" s="22">
        <v>1.0</v>
      </c>
      <c r="B20" s="22" t="s">
        <v>64</v>
      </c>
      <c r="C20" s="24" t="str">
        <f t="array" ref="C20">IF(B20="","",IFERROR(INDEX(BD_PT!$A$2:$A$66,MATCH(B20,BD_PT!$B$2:$B$66,0)),""))</f>
        <v>POST-06</v>
      </c>
      <c r="D20" s="24">
        <f t="array" ref="D20">IF(B20="","",IFERROR(INDEX(BD_PT!$C$2:$C$66,MATCH(B20,BD_PT!$B$2:$B$66,0))*IF(A20="",1,A20),""))</f>
        <v>15</v>
      </c>
      <c r="E20" s="24"/>
      <c r="F20" s="24"/>
    </row>
    <row r="21" ht="15.75" customHeight="1">
      <c r="A21" s="22">
        <v>1.0</v>
      </c>
      <c r="B21" s="22" t="s">
        <v>6</v>
      </c>
      <c r="C21" s="24" t="str">
        <f t="array" ref="C21">IF(B21="","",IFERROR(INDEX(BD_PT!$A$2:$A$66,MATCH(B21,BD_PT!$B$2:$B$66,0)),""))</f>
        <v>FRES-02</v>
      </c>
      <c r="D21" s="24">
        <f t="array" ref="D21">IF(B21="","",IFERROR(INDEX(BD_PT!$C$2:$C$66,MATCH(B21,BD_PT!$B$2:$B$66,0))*IF(A21="",1,A21),""))</f>
        <v>69</v>
      </c>
      <c r="E21" s="24"/>
      <c r="F21" s="24"/>
    </row>
    <row r="22" ht="15.75" customHeight="1">
      <c r="A22" s="22">
        <v>1.0</v>
      </c>
      <c r="B22" s="22" t="s">
        <v>76</v>
      </c>
      <c r="C22" s="24" t="str">
        <f t="array" ref="C22">IF(B22="","",IFERROR(INDEX(BD_PT!$A$2:$A$66,MATCH(B22,BD_PT!$B$2:$B$66,0)),""))</f>
        <v>EXTR-01</v>
      </c>
      <c r="D22" s="24">
        <f t="array" ref="D22">IF(B22="","",IFERROR(INDEX(BD_PT!$C$2:$C$66,MATCH(B22,BD_PT!$B$2:$B$66,0))*IF(A22="",1,A22),""))</f>
        <v>10</v>
      </c>
      <c r="E22" s="24"/>
      <c r="F22" s="22" t="s">
        <v>154</v>
      </c>
    </row>
    <row r="23" ht="15.75" customHeight="1">
      <c r="A23" s="22">
        <v>1.0</v>
      </c>
      <c r="B23" s="22" t="s">
        <v>76</v>
      </c>
      <c r="C23" s="24" t="str">
        <f t="array" ref="C23">IF(B23="","",IFERROR(INDEX(BD_PT!$A$2:$A$66,MATCH(B23,BD_PT!$B$2:$B$66,0)),""))</f>
        <v>EXTR-01</v>
      </c>
      <c r="D23" s="24">
        <f t="array" ref="D23">IF(B23="","",IFERROR(INDEX(BD_PT!$C$2:$C$66,MATCH(B23,BD_PT!$B$2:$B$66,0))*IF(A23="",1,A23),""))</f>
        <v>10</v>
      </c>
      <c r="E23" s="24"/>
      <c r="F23" s="22" t="s">
        <v>189</v>
      </c>
    </row>
    <row r="24" ht="15.75" customHeight="1">
      <c r="A24" s="22">
        <v>1.0</v>
      </c>
      <c r="B24" s="22" t="s">
        <v>101</v>
      </c>
      <c r="C24" s="24" t="str">
        <f t="array" ref="C24">IF(B24="","",IFERROR(INDEX(BD_PT!$A$2:$A$66,MATCH(B24,BD_PT!$B$2:$B$66,0)),""))</f>
        <v>AC3</v>
      </c>
      <c r="D24" s="22">
        <f>150*0.9567</f>
        <v>143.505</v>
      </c>
      <c r="E24" s="22">
        <v>150.0</v>
      </c>
      <c r="F24" s="22" t="s">
        <v>190</v>
      </c>
    </row>
    <row r="25" ht="15.75" customHeight="1">
      <c r="A25" s="22">
        <v>1.0</v>
      </c>
      <c r="B25" s="22" t="s">
        <v>64</v>
      </c>
      <c r="C25" s="24" t="str">
        <f t="array" ref="C25">IF(B25="","",IFERROR(INDEX(BD_PT!$A$2:$A$66,MATCH(B25,BD_PT!$B$2:$B$66,0)),""))</f>
        <v>POST-06</v>
      </c>
      <c r="D25" s="24">
        <f t="array" ref="D25">IF(B25="","",IFERROR(INDEX(BD_PT!$C$2:$C$66,MATCH(B25,BD_PT!$B$2:$B$66,0))*IF(A25="",1,A25),""))</f>
        <v>15</v>
      </c>
      <c r="E25" s="24"/>
      <c r="F25" s="24"/>
    </row>
    <row r="26" ht="15.75" customHeight="1">
      <c r="A26" s="22">
        <v>1.0</v>
      </c>
      <c r="B26" s="22" t="s">
        <v>72</v>
      </c>
      <c r="C26" s="24" t="str">
        <f t="array" ref="C26">IF(B26="","",IFERROR(INDEX(BD_PT!$A$2:$A$66,MATCH(B26,BD_PT!$B$2:$B$66,0)),""))</f>
        <v>POST-10</v>
      </c>
      <c r="D26" s="24">
        <f t="array" ref="D26">IF(B26="","",IFERROR(INDEX(BD_PT!$C$2:$C$66,MATCH(B26,BD_PT!$B$2:$B$66,0))*IF(A26="",1,A26),""))</f>
        <v>20</v>
      </c>
      <c r="E26" s="24"/>
      <c r="F26" s="24"/>
    </row>
    <row r="27" ht="15.75" customHeight="1">
      <c r="A27" s="22">
        <v>2.0</v>
      </c>
      <c r="B27" s="22" t="s">
        <v>72</v>
      </c>
      <c r="C27" s="24" t="str">
        <f t="array" ref="C27">IF(B27="","",IFERROR(INDEX(BD_PT!$A$2:$A$66,MATCH(B27,BD_PT!$B$2:$B$66,0)),""))</f>
        <v>POST-10</v>
      </c>
      <c r="D27" s="24">
        <f t="array" ref="D27">IF(B27="","",IFERROR(INDEX(BD_PT!$C$2:$C$66,MATCH(B27,BD_PT!$B$2:$B$66,0))*IF(A27="",1,A27),""))</f>
        <v>40</v>
      </c>
      <c r="E27" s="24"/>
      <c r="F27" s="24"/>
    </row>
    <row r="28" ht="15.75" customHeight="1">
      <c r="A28" s="22">
        <v>1.0</v>
      </c>
      <c r="B28" s="22" t="s">
        <v>6</v>
      </c>
      <c r="C28" s="24" t="str">
        <f t="array" ref="C28">IF(B28="","",IFERROR(INDEX(BD_PT!$A$2:$A$66,MATCH(B28,BD_PT!$B$2:$B$66,0)),""))</f>
        <v>FRES-02</v>
      </c>
      <c r="D28" s="24">
        <f t="array" ref="D28">IF(B28="","",IFERROR(INDEX(BD_PT!$C$2:$C$66,MATCH(B28,BD_PT!$B$2:$B$66,0))*IF(A28="",1,A28),""))</f>
        <v>69</v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140</v>
      </c>
      <c r="I1" s="27">
        <v>1000.0</v>
      </c>
    </row>
    <row r="2" ht="15.75" customHeight="1">
      <c r="A2" s="22">
        <v>1.0</v>
      </c>
      <c r="B2" s="23" t="s">
        <v>6</v>
      </c>
      <c r="C2" s="24" t="str">
        <f t="array" ref="C2">IF(B2="","",IFERROR(INDEX(BD_PT!$A$2:$A$66,MATCH(B2,BD_PT!$B$2:$B$66,0)),""))</f>
        <v>FRES-02</v>
      </c>
      <c r="D2" s="24">
        <f t="array" ref="D2">IF(B2="","",IFERROR(INDEX(BD_PT!$C$2:$C$66,MATCH(B2,BD_PT!$B$2:$B$66,0))*IF(A2="",1,A2),""))</f>
        <v>69</v>
      </c>
      <c r="E2" s="24"/>
      <c r="F2" s="24"/>
      <c r="H2" s="27" t="s">
        <v>151</v>
      </c>
      <c r="I2" s="27">
        <v>1111.0</v>
      </c>
    </row>
    <row r="3" ht="15.75" customHeight="1">
      <c r="A3" s="22">
        <v>1.0</v>
      </c>
      <c r="B3" s="22" t="s">
        <v>20</v>
      </c>
      <c r="C3" s="24" t="str">
        <f t="array" ref="C3">IF(B3="","",IFERROR(INDEX(BD_PT!$A$2:$A$66,MATCH(B3,BD_PT!$B$2:$B$66,0)),""))</f>
        <v>FRES-09</v>
      </c>
      <c r="D3" s="24">
        <f t="array" ref="D3">IF(B3="","",IFERROR(INDEX(BD_PT!$C$2:$C$66,MATCH(B3,BD_PT!$B$2:$B$66,0))*IF(A3="",1,A3),""))</f>
        <v>79</v>
      </c>
      <c r="E3" s="24"/>
      <c r="F3" s="24"/>
      <c r="H3" s="27" t="s">
        <v>147</v>
      </c>
      <c r="I3" s="27">
        <v>270.56</v>
      </c>
    </row>
    <row r="4" ht="15.75" customHeight="1">
      <c r="A4" s="22">
        <v>1.0</v>
      </c>
      <c r="B4" s="22" t="s">
        <v>72</v>
      </c>
      <c r="C4" s="24" t="str">
        <f t="array" ref="C4">IF(B4="","",IFERROR(INDEX(BD_PT!$A$2:$A$66,MATCH(B4,BD_PT!$B$2:$B$66,0)),""))</f>
        <v>POST-10</v>
      </c>
      <c r="D4" s="24">
        <f t="array" ref="D4">IF(B4="","",IFERROR(INDEX(BD_PT!$C$2:$C$66,MATCH(B4,BD_PT!$B$2:$B$66,0))*IF(A4="",1,A4),""))</f>
        <v>20</v>
      </c>
      <c r="E4" s="24"/>
      <c r="F4" s="24"/>
    </row>
    <row r="5" ht="15.75" customHeight="1">
      <c r="A5" s="22">
        <v>1.0</v>
      </c>
      <c r="B5" s="22" t="s">
        <v>64</v>
      </c>
      <c r="C5" s="24" t="str">
        <f t="array" ref="C5">IF(B5="","",IFERROR(INDEX(BD_PT!$A$2:$A$66,MATCH(B5,BD_PT!$B$2:$B$66,0)),""))</f>
        <v>POST-06</v>
      </c>
      <c r="D5" s="24">
        <f t="array" ref="D5">IF(B5="","",IFERROR(INDEX(BD_PT!$C$2:$C$66,MATCH(B5,BD_PT!$B$2:$B$66,0))*IF(A5="",1,A5),""))</f>
        <v>15</v>
      </c>
      <c r="E5" s="24"/>
      <c r="F5" s="24"/>
    </row>
    <row r="6" ht="15.75" customHeight="1">
      <c r="A6" s="22">
        <v>1.0</v>
      </c>
      <c r="B6" s="22" t="s">
        <v>70</v>
      </c>
      <c r="C6" s="24" t="str">
        <f t="array" ref="C6">IF(B6="","",IFERROR(INDEX(BD_PT!$A$2:$A$66,MATCH(B6,BD_PT!$B$2:$B$66,0)),""))</f>
        <v>POST-09</v>
      </c>
      <c r="D6" s="24">
        <f t="array" ref="D6">IF(B6="","",IFERROR(INDEX(BD_PT!$C$2:$C$66,MATCH(B6,BD_PT!$B$2:$B$66,0))*IF(A6="",1,A6),""))</f>
        <v>40</v>
      </c>
      <c r="E6" s="24"/>
      <c r="F6" s="24"/>
    </row>
    <row r="7" ht="15.75" customHeight="1">
      <c r="A7" s="22">
        <v>1.0</v>
      </c>
      <c r="B7" s="22" t="s">
        <v>34</v>
      </c>
      <c r="C7" s="24" t="str">
        <f t="array" ref="C7">IF(B7="","",IFERROR(INDEX(BD_PT!$A$2:$A$66,MATCH(B7,BD_PT!$B$2:$B$66,0)),""))</f>
        <v>FRES-16</v>
      </c>
      <c r="D7" s="24">
        <f t="array" ref="D7">IF(B7="","",IFERROR(INDEX(BD_PT!$C$2:$C$66,MATCH(B7,BD_PT!$B$2:$B$66,0))*IF(A7="",1,A7),""))</f>
        <v>96</v>
      </c>
      <c r="E7" s="24"/>
      <c r="F7" s="24"/>
    </row>
    <row r="8" ht="15.75" customHeight="1">
      <c r="A8" s="22">
        <v>1.0</v>
      </c>
      <c r="B8" s="22" t="s">
        <v>8</v>
      </c>
      <c r="C8" s="24" t="str">
        <f t="array" ref="C8">IF(B8="","",IFERROR(INDEX(BD_PT!$A$2:$A$66,MATCH(B8,BD_PT!$B$2:$B$66,0)),""))</f>
        <v>FRES-03</v>
      </c>
      <c r="D8" s="24">
        <f>89*0.9567</f>
        <v>85.1463</v>
      </c>
      <c r="E8" s="22">
        <v>89.0</v>
      </c>
      <c r="F8" s="22" t="s">
        <v>147</v>
      </c>
    </row>
    <row r="9" ht="15.75" customHeight="1">
      <c r="A9" s="22">
        <v>1.0</v>
      </c>
      <c r="B9" s="22" t="s">
        <v>8</v>
      </c>
      <c r="C9" s="24" t="str">
        <f t="array" ref="C9">IF(B9="","",IFERROR(INDEX(BD_PT!$A$2:$A$66,MATCH(B9,BD_PT!$B$2:$B$66,0)),""))</f>
        <v>FRES-03</v>
      </c>
      <c r="D9" s="24">
        <f t="array" ref="D9">IF(B9="","",IFERROR(INDEX(BD_PT!$C$2:$C$66,MATCH(B9,BD_PT!$B$2:$B$66,0))*IF(A9="",1,A9),""))</f>
        <v>89</v>
      </c>
      <c r="E9" s="24"/>
      <c r="F9" s="24"/>
    </row>
    <row r="10" ht="15.75" customHeight="1">
      <c r="A10" s="22">
        <v>2.0</v>
      </c>
      <c r="B10" s="22" t="s">
        <v>72</v>
      </c>
      <c r="C10" s="24" t="str">
        <f t="array" ref="C10">IF(B10="","",IFERROR(INDEX(BD_PT!$A$2:$A$66,MATCH(B10,BD_PT!$B$2:$B$66,0)),""))</f>
        <v>POST-10</v>
      </c>
      <c r="D10" s="24">
        <f t="array" ref="D10">IF(B10="","",IFERROR(INDEX(BD_PT!$C$2:$C$66,MATCH(B10,BD_PT!$B$2:$B$66,0))*IF(A10="",1,A10),""))</f>
        <v>40</v>
      </c>
      <c r="E10" s="24"/>
      <c r="F10" s="24"/>
    </row>
    <row r="11" ht="15.75" customHeight="1">
      <c r="A11" s="22">
        <v>1.0</v>
      </c>
      <c r="B11" s="22" t="s">
        <v>6</v>
      </c>
      <c r="C11" s="24" t="str">
        <f t="array" ref="C11">IF(B11="","",IFERROR(INDEX(BD_PT!$A$2:$A$66,MATCH(B11,BD_PT!$B$2:$B$66,0)),""))</f>
        <v>FRES-02</v>
      </c>
      <c r="D11" s="24">
        <f t="array" ref="D11">IF(B11="","",IFERROR(INDEX(BD_PT!$C$2:$C$66,MATCH(B11,BD_PT!$B$2:$B$66,0))*IF(A11="",1,A11),""))</f>
        <v>69</v>
      </c>
      <c r="E11" s="24"/>
      <c r="F11" s="24"/>
    </row>
    <row r="12" ht="15.75" customHeight="1">
      <c r="A12" s="22">
        <v>1.0</v>
      </c>
      <c r="B12" s="22" t="s">
        <v>50</v>
      </c>
      <c r="C12" s="24" t="str">
        <f t="array" ref="C12">IF(B12="","",IFERROR(INDEX(BD_PT!$A$2:$A$66,MATCH(B12,BD_PT!$B$2:$B$66,0)),""))</f>
        <v>GALL-04</v>
      </c>
      <c r="D12" s="24">
        <f t="shared" ref="D12:D13" si="1">39*0.9567</f>
        <v>37.3113</v>
      </c>
      <c r="E12" s="22">
        <v>39.0</v>
      </c>
      <c r="F12" s="22" t="s">
        <v>147</v>
      </c>
    </row>
    <row r="13" ht="15.75" customHeight="1">
      <c r="A13" s="22">
        <v>1.0</v>
      </c>
      <c r="B13" s="22" t="s">
        <v>44</v>
      </c>
      <c r="C13" s="24" t="str">
        <f t="array" ref="C13">IF(B13="","",IFERROR(INDEX(BD_PT!$A$2:$A$66,MATCH(B13,BD_PT!$B$2:$B$66,0)),""))</f>
        <v>GALL-01</v>
      </c>
      <c r="D13" s="24">
        <f t="shared" si="1"/>
        <v>37.3113</v>
      </c>
      <c r="E13" s="22">
        <v>39.0</v>
      </c>
      <c r="F13" s="22" t="s">
        <v>147</v>
      </c>
    </row>
    <row r="14" ht="15.75" customHeight="1">
      <c r="A14" s="22">
        <v>1.0</v>
      </c>
      <c r="B14" s="22" t="s">
        <v>4</v>
      </c>
      <c r="C14" s="24" t="str">
        <f t="array" ref="C14">IF(B14="","",IFERROR(INDEX(BD_PT!$A$2:$A$66,MATCH(B14,BD_PT!$B$2:$B$66,0)),""))</f>
        <v>FRES-01</v>
      </c>
      <c r="D14" s="24">
        <f>46*0.9567</f>
        <v>44.0082</v>
      </c>
      <c r="E14" s="22">
        <v>46.0</v>
      </c>
      <c r="F14" s="22" t="s">
        <v>147</v>
      </c>
    </row>
    <row r="15" ht="15.75" customHeight="1">
      <c r="A15" s="22">
        <v>1.0</v>
      </c>
      <c r="B15" s="22" t="s">
        <v>54</v>
      </c>
      <c r="C15" s="24" t="str">
        <f t="array" ref="C15">IF(B15="","",IFERROR(INDEX(BD_PT!$A$2:$A$66,MATCH(B15,BD_PT!$B$2:$B$66,0)),""))</f>
        <v>POST-01</v>
      </c>
      <c r="D15" s="24">
        <f t="array" ref="D15">IF(B15="","",IFERROR(INDEX(BD_PT!$C$2:$C$66,MATCH(B15,BD_PT!$B$2:$B$66,0))*IF(A15="",1,A15),""))</f>
        <v>55</v>
      </c>
      <c r="E15" s="24"/>
      <c r="F15" s="24"/>
    </row>
    <row r="16" ht="15.75" customHeight="1">
      <c r="A16" s="22">
        <v>1.0</v>
      </c>
      <c r="B16" s="22" t="s">
        <v>50</v>
      </c>
      <c r="C16" s="24" t="str">
        <f t="array" ref="C16">IF(B16="","",IFERROR(INDEX(BD_PT!$A$2:$A$66,MATCH(B16,BD_PT!$B$2:$B$66,0)),""))</f>
        <v>GALL-04</v>
      </c>
      <c r="D16" s="24">
        <f t="array" ref="D16">IF(B16="","",IFERROR(INDEX(BD_PT!$C$2:$C$66,MATCH(B16,BD_PT!$B$2:$B$66,0))*IF(A16="",1,A16),""))</f>
        <v>39</v>
      </c>
      <c r="E16" s="24"/>
      <c r="F16" s="24"/>
    </row>
    <row r="17" ht="15.75" customHeight="1">
      <c r="A17" s="22">
        <v>1.0</v>
      </c>
      <c r="B17" s="22" t="s">
        <v>4</v>
      </c>
      <c r="C17" s="24" t="str">
        <f t="array" ref="C17">IF(B17="","",IFERROR(INDEX(BD_PT!$A$2:$A$66,MATCH(B17,BD_PT!$B$2:$B$66,0)),""))</f>
        <v>FRES-01</v>
      </c>
      <c r="D17" s="24">
        <f t="array" ref="D17">IF(B17="","",IFERROR(INDEX(BD_PT!$C$2:$C$66,MATCH(B17,BD_PT!$B$2:$B$66,0))*IF(A17="",1,A17),""))</f>
        <v>46</v>
      </c>
      <c r="E17" s="24"/>
      <c r="F17" s="24"/>
    </row>
    <row r="18" ht="15.75" customHeight="1">
      <c r="A18" s="22">
        <v>1.0</v>
      </c>
      <c r="B18" s="22" t="s">
        <v>6</v>
      </c>
      <c r="C18" s="24" t="str">
        <f t="array" ref="C18">IF(B18="","",IFERROR(INDEX(BD_PT!$A$2:$A$66,MATCH(B18,BD_PT!$B$2:$B$66,0)),""))</f>
        <v>FRES-02</v>
      </c>
      <c r="D18" s="24">
        <f>69*0.9567</f>
        <v>66.0123</v>
      </c>
      <c r="E18" s="22">
        <v>69.0</v>
      </c>
      <c r="F18" s="22" t="s">
        <v>147</v>
      </c>
    </row>
    <row r="19" ht="15.75" customHeight="1">
      <c r="A19" s="22">
        <v>2.0</v>
      </c>
      <c r="B19" s="22" t="s">
        <v>24</v>
      </c>
      <c r="C19" s="24" t="str">
        <f t="array" ref="C19">IF(B19="","",IFERROR(INDEX(BD_PT!$A$2:$A$66,MATCH(B19,BD_PT!$B$2:$B$66,0)),""))</f>
        <v>FRES-11</v>
      </c>
      <c r="D19" s="24">
        <f t="array" ref="D19">IF(B19="","",IFERROR(INDEX(BD_PT!$C$2:$C$66,MATCH(B19,BD_PT!$B$2:$B$66,0))*IF(A19="",1,A19),""))</f>
        <v>256</v>
      </c>
      <c r="E19" s="24"/>
      <c r="F19" s="24"/>
    </row>
    <row r="20" ht="15.75" customHeight="1">
      <c r="A20" s="22">
        <v>1.0</v>
      </c>
      <c r="B20" s="22" t="s">
        <v>6</v>
      </c>
      <c r="C20" s="24" t="str">
        <f t="array" ref="C20">IF(B20="","",IFERROR(INDEX(BD_PT!$A$2:$A$66,MATCH(B20,BD_PT!$B$2:$B$66,0)),""))</f>
        <v>FRES-02</v>
      </c>
      <c r="D20" s="24">
        <f t="array" ref="D20">IF(B20="","",IFERROR(INDEX(BD_PT!$C$2:$C$66,MATCH(B20,BD_PT!$B$2:$B$66,0))*IF(A20="",1,A20),""))</f>
        <v>69</v>
      </c>
      <c r="E20" s="24"/>
      <c r="F20" s="24"/>
    </row>
    <row r="21" ht="15.75" customHeight="1">
      <c r="A21" s="22">
        <v>1.0</v>
      </c>
      <c r="B21" s="22" t="s">
        <v>72</v>
      </c>
      <c r="C21" s="24" t="str">
        <f t="array" ref="C21">IF(B21="","",IFERROR(INDEX(BD_PT!$A$2:$A$66,MATCH(B21,BD_PT!$B$2:$B$66,0)),""))</f>
        <v>POST-10</v>
      </c>
      <c r="D21" s="24">
        <f t="array" ref="D21">IF(B21="","",IFERROR(INDEX(BD_PT!$C$2:$C$66,MATCH(B21,BD_PT!$B$2:$B$66,0))*IF(A21="",1,A21),""))</f>
        <v>20</v>
      </c>
      <c r="E21" s="24"/>
      <c r="F21" s="24"/>
    </row>
    <row r="22" ht="15.75" customHeight="1">
      <c r="A22" s="22">
        <v>1.0</v>
      </c>
      <c r="B22" s="22" t="s">
        <v>76</v>
      </c>
      <c r="C22" s="24" t="str">
        <f t="array" ref="C22">IF(B22="","",IFERROR(INDEX(BD_PT!$A$2:$A$66,MATCH(B22,BD_PT!$B$2:$B$66,0)),""))</f>
        <v>EXTR-01</v>
      </c>
      <c r="D22" s="24">
        <f t="array" ref="D22">IF(B22="","",IFERROR(INDEX(BD_PT!$C$2:$C$66,MATCH(B22,BD_PT!$B$2:$B$66,0))*IF(A22="",1,A22),""))</f>
        <v>10</v>
      </c>
      <c r="E22" s="24"/>
      <c r="F22" s="22" t="s">
        <v>154</v>
      </c>
    </row>
    <row r="23" ht="15.75" customHeight="1">
      <c r="A23" s="22">
        <v>1.0</v>
      </c>
      <c r="B23" s="22" t="s">
        <v>72</v>
      </c>
      <c r="C23" s="24" t="str">
        <f t="array" ref="C23">IF(B23="","",IFERROR(INDEX(BD_PT!$A$2:$A$66,MATCH(B23,BD_PT!$B$2:$B$66,0)),""))</f>
        <v>POST-10</v>
      </c>
      <c r="D23" s="24">
        <f t="array" ref="D23">IF(B23="","",IFERROR(INDEX(BD_PT!$C$2:$C$66,MATCH(B23,BD_PT!$B$2:$B$66,0))*IF(A23="",1,A23),""))</f>
        <v>20</v>
      </c>
      <c r="E23" s="24"/>
      <c r="F23" s="24"/>
    </row>
    <row r="24" ht="15.75" customHeight="1">
      <c r="A24" s="22">
        <v>1.0</v>
      </c>
      <c r="B24" s="22" t="s">
        <v>6</v>
      </c>
      <c r="C24" s="24" t="str">
        <f t="array" ref="C24">IF(B24="","",IFERROR(INDEX(BD_PT!$A$2:$A$66,MATCH(B24,BD_PT!$B$2:$B$66,0)),""))</f>
        <v>FRES-02</v>
      </c>
      <c r="D24" s="24">
        <f t="array" ref="D24">IF(B24="","",IFERROR(INDEX(BD_PT!$C$2:$C$66,MATCH(B24,BD_PT!$B$2:$B$66,0))*IF(A24="",1,A24),""))</f>
        <v>69</v>
      </c>
      <c r="E24" s="24"/>
      <c r="F24" s="24"/>
    </row>
    <row r="25" ht="15.75" customHeight="1">
      <c r="A25" s="22">
        <v>1.0</v>
      </c>
      <c r="B25" s="22" t="s">
        <v>191</v>
      </c>
      <c r="C25" s="24" t="str">
        <f t="array" ref="C25">IF(B25="","",IFERROR(INDEX(BD_PT!$A$2:$A$66,MATCH(B25,BD_PT!$B$2:$B$66,0)),""))</f>
        <v/>
      </c>
      <c r="D25" s="22">
        <v>10.0</v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140</v>
      </c>
      <c r="I1" s="27">
        <v>1000.0</v>
      </c>
    </row>
    <row r="2" ht="15.75" customHeight="1">
      <c r="A2" s="22">
        <v>1.0</v>
      </c>
      <c r="B2" s="23" t="s">
        <v>4</v>
      </c>
      <c r="C2" s="24" t="str">
        <f t="array" ref="C2">IF(B2="","",IFERROR(INDEX(BD_PT!$A$2:$A$66,MATCH(B2,BD_PT!$B$2:$B$66,0)),""))</f>
        <v>FRES-01</v>
      </c>
      <c r="D2" s="24">
        <f t="array" ref="D2">IF(B2="","",IFERROR(INDEX(BD_PT!$C$2:$C$66,MATCH(B2,BD_PT!$B$2:$B$66,0))*IF(A2="",1,A2),""))</f>
        <v>46</v>
      </c>
      <c r="E2" s="24"/>
      <c r="F2" s="24"/>
      <c r="H2" s="27" t="s">
        <v>151</v>
      </c>
      <c r="I2" s="28">
        <f>306+99</f>
        <v>405</v>
      </c>
    </row>
    <row r="3" ht="15.75" customHeight="1">
      <c r="A3" s="22">
        <v>1.0</v>
      </c>
      <c r="B3" s="22" t="s">
        <v>4</v>
      </c>
      <c r="C3" s="24" t="str">
        <f t="array" ref="C3">IF(B3="","",IFERROR(INDEX(BD_PT!$A$2:$A$66,MATCH(B3,BD_PT!$B$2:$B$66,0)),""))</f>
        <v>FRES-01</v>
      </c>
      <c r="D3" s="24">
        <f t="array" ref="D3">IF(B3="","",IFERROR(INDEX(BD_PT!$C$2:$C$66,MATCH(B3,BD_PT!$B$2:$B$66,0))*IF(A3="",1,A3),""))</f>
        <v>46</v>
      </c>
      <c r="E3" s="24"/>
      <c r="F3" s="24"/>
      <c r="H3" s="27" t="s">
        <v>147</v>
      </c>
      <c r="I3" s="27">
        <v>0.0</v>
      </c>
    </row>
    <row r="4" ht="15.75" customHeight="1">
      <c r="A4" s="22">
        <v>1.0</v>
      </c>
      <c r="B4" s="22" t="s">
        <v>62</v>
      </c>
      <c r="C4" s="24" t="str">
        <f t="array" ref="C4">IF(B4="","",IFERROR(INDEX(BD_PT!$A$2:$A$66,MATCH(B4,BD_PT!$B$2:$B$66,0)),""))</f>
        <v>POST-05</v>
      </c>
      <c r="D4" s="24">
        <f t="array" ref="D4">IF(B4="","",IFERROR(INDEX(BD_PT!$C$2:$C$66,MATCH(B4,BD_PT!$B$2:$B$66,0))*IF(A4="",1,A4),""))</f>
        <v>11</v>
      </c>
      <c r="E4" s="24"/>
      <c r="F4" s="24"/>
    </row>
    <row r="5" ht="15.75" customHeight="1">
      <c r="A5" s="22">
        <v>1.0</v>
      </c>
      <c r="B5" s="22" t="s">
        <v>6</v>
      </c>
      <c r="C5" s="24" t="str">
        <f t="array" ref="C5">IF(B5="","",IFERROR(INDEX(BD_PT!$A$2:$A$66,MATCH(B5,BD_PT!$B$2:$B$66,0)),""))</f>
        <v>FRES-02</v>
      </c>
      <c r="D5" s="24">
        <f t="array" ref="D5">IF(B5="","",IFERROR(INDEX(BD_PT!$C$2:$C$66,MATCH(B5,BD_PT!$B$2:$B$66,0))*IF(A5="",1,A5),""))</f>
        <v>69</v>
      </c>
      <c r="E5" s="24"/>
      <c r="F5" s="24"/>
    </row>
    <row r="6" ht="15.75" customHeight="1">
      <c r="A6" s="22">
        <v>2.0</v>
      </c>
      <c r="B6" s="22" t="s">
        <v>8</v>
      </c>
      <c r="C6" s="24" t="str">
        <f t="array" ref="C6">IF(B6="","",IFERROR(INDEX(BD_PT!$A$2:$A$66,MATCH(B6,BD_PT!$B$2:$B$66,0)),""))</f>
        <v>FRES-03</v>
      </c>
      <c r="D6" s="24">
        <f t="array" ref="D6">IF(B6="","",IFERROR(INDEX(BD_PT!$C$2:$C$66,MATCH(B6,BD_PT!$B$2:$B$66,0))*IF(A6="",1,A6),""))</f>
        <v>178</v>
      </c>
      <c r="E6" s="24"/>
      <c r="F6" s="24"/>
    </row>
    <row r="7" ht="15.75" customHeight="1">
      <c r="A7" s="22">
        <v>1.0</v>
      </c>
      <c r="B7" s="22" t="s">
        <v>70</v>
      </c>
      <c r="C7" s="24" t="str">
        <f t="array" ref="C7">IF(B7="","",IFERROR(INDEX(BD_PT!$A$2:$A$66,MATCH(B7,BD_PT!$B$2:$B$66,0)),""))</f>
        <v>POST-09</v>
      </c>
      <c r="D7" s="24">
        <f t="array" ref="D7">IF(B7="","",IFERROR(INDEX(BD_PT!$C$2:$C$66,MATCH(B7,BD_PT!$B$2:$B$66,0))*IF(A7="",1,A7),""))</f>
        <v>40</v>
      </c>
      <c r="E7" s="24"/>
      <c r="F7" s="24"/>
    </row>
    <row r="8" ht="15.75" customHeight="1">
      <c r="A8" s="22">
        <v>1.0</v>
      </c>
      <c r="B8" s="22" t="s">
        <v>64</v>
      </c>
      <c r="C8" s="24" t="str">
        <f t="array" ref="C8">IF(B8="","",IFERROR(INDEX(BD_PT!$A$2:$A$66,MATCH(B8,BD_PT!$B$2:$B$66,0)),""))</f>
        <v>POST-06</v>
      </c>
      <c r="D8" s="24">
        <f t="array" ref="D8">IF(B8="","",IFERROR(INDEX(BD_PT!$C$2:$C$66,MATCH(B8,BD_PT!$B$2:$B$66,0))*IF(A8="",1,A8),""))</f>
        <v>15</v>
      </c>
      <c r="E8" s="24"/>
      <c r="F8" s="24"/>
    </row>
    <row r="9" ht="15.75" customHeight="1">
      <c r="A9" s="22">
        <v>1.0</v>
      </c>
      <c r="B9" s="22" t="s">
        <v>74</v>
      </c>
      <c r="C9" s="24" t="str">
        <f t="array" ref="C9">IF(B9="","",IFERROR(INDEX(BD_PT!$A$2:$A$66,MATCH(B9,BD_PT!$B$2:$B$66,0)),""))</f>
        <v>POST-11</v>
      </c>
      <c r="D9" s="22">
        <v>0.0</v>
      </c>
      <c r="E9" s="24"/>
      <c r="F9" s="22" t="s">
        <v>184</v>
      </c>
    </row>
    <row r="10" ht="15.75" customHeight="1">
      <c r="A10" s="22">
        <v>1.0</v>
      </c>
      <c r="B10" s="22" t="s">
        <v>60</v>
      </c>
      <c r="C10" s="24" t="str">
        <f t="array" ref="C10">IF(B10="","",IFERROR(INDEX(BD_PT!$A$2:$A$66,MATCH(B10,BD_PT!$B$2:$B$66,0)),""))</f>
        <v>POST-04</v>
      </c>
      <c r="D10" s="22">
        <v>0.0</v>
      </c>
      <c r="E10" s="24"/>
      <c r="F10" s="22" t="s">
        <v>184</v>
      </c>
    </row>
    <row r="11" ht="15.75" customHeight="1">
      <c r="A11" s="24"/>
      <c r="B11" s="24"/>
      <c r="C11" s="24" t="str">
        <f t="array" ref="C11">IF(B11="","",IFERROR(INDEX(BD_PT!$A$2:$A$66,MATCH(B11,BD_PT!$B$2:$B$66,0)),""))</f>
        <v/>
      </c>
      <c r="D11" s="24" t="str">
        <f t="array" ref="D11">IF(B11="","",IFERROR(INDEX(BD_PT!$C$2:$C$66,MATCH(B11,BD_PT!$B$2:$B$66,0))*IF(A11="",1,A11),""))</f>
        <v/>
      </c>
      <c r="E11" s="24"/>
      <c r="F11" s="24"/>
    </row>
    <row r="12" ht="15.75" customHeight="1">
      <c r="A12" s="24"/>
      <c r="B12" s="24"/>
      <c r="C12" s="24" t="str">
        <f t="array" ref="C12">IF(B12="","",IFERROR(INDEX(BD_PT!$A$2:$A$66,MATCH(B12,BD_PT!$B$2:$B$66,0)),""))</f>
        <v/>
      </c>
      <c r="D12" s="24" t="str">
        <f t="array" ref="D12">IF(B12="","",IFERROR(INDEX(BD_PT!$C$2:$C$66,MATCH(B12,BD_PT!$B$2:$B$66,0))*IF(A12="",1,A12),""))</f>
        <v/>
      </c>
      <c r="E12" s="24"/>
      <c r="F12" s="24"/>
    </row>
    <row r="13" ht="15.75" customHeight="1">
      <c r="A13" s="24"/>
      <c r="B13" s="24"/>
      <c r="C13" s="24" t="str">
        <f t="array" ref="C13">IF(B13="","",IFERROR(INDEX(BD_PT!$A$2:$A$66,MATCH(B13,BD_PT!$B$2:$B$66,0)),""))</f>
        <v/>
      </c>
      <c r="D13" s="24" t="str">
        <f t="array" ref="D13">IF(B13="","",IFERROR(INDEX(BD_PT!$C$2:$C$66,MATCH(B13,BD_PT!$B$2:$B$66,0))*IF(A13="",1,A13),""))</f>
        <v/>
      </c>
      <c r="E13" s="24"/>
      <c r="F13" s="24"/>
    </row>
    <row r="14" ht="15.75" customHeight="1">
      <c r="A14" s="24"/>
      <c r="B14" s="24"/>
      <c r="C14" s="24" t="str">
        <f t="array" ref="C14">IF(B14="","",IFERROR(INDEX(BD_PT!$A$2:$A$66,MATCH(B14,BD_PT!$B$2:$B$66,0)),""))</f>
        <v/>
      </c>
      <c r="D14" s="24" t="str">
        <f t="array" ref="D14">IF(B14="","",IFERROR(INDEX(BD_PT!$C$2:$C$66,MATCH(B14,BD_PT!$B$2:$B$66,0))*IF(A14="",1,A14),""))</f>
        <v/>
      </c>
      <c r="E14" s="24"/>
      <c r="F14" s="24"/>
    </row>
    <row r="15" ht="15.75" customHeight="1">
      <c r="A15" s="24"/>
      <c r="B15" s="24"/>
      <c r="C15" s="24" t="str">
        <f t="array" ref="C15">IF(B15="","",IFERROR(INDEX(BD_PT!$A$2:$A$66,MATCH(B15,BD_PT!$B$2:$B$66,0)),""))</f>
        <v/>
      </c>
      <c r="D15" s="24" t="str">
        <f t="array" ref="D15">IF(B15="","",IFERROR(INDEX(BD_PT!$C$2:$C$66,MATCH(B15,BD_PT!$B$2:$B$66,0))*IF(A15="",1,A15),""))</f>
        <v/>
      </c>
      <c r="E15" s="24"/>
      <c r="F15" s="24"/>
    </row>
    <row r="16" ht="15.75" customHeight="1">
      <c r="A16" s="24"/>
      <c r="B16" s="24"/>
      <c r="C16" s="24" t="str">
        <f t="array" ref="C16">IF(B16="","",IFERROR(INDEX(BD_PT!$A$2:$A$66,MATCH(B16,BD_PT!$B$2:$B$66,0)),""))</f>
        <v/>
      </c>
      <c r="D16" s="24" t="str">
        <f t="array" ref="D16">IF(B16="","",IFERROR(INDEX(BD_PT!$C$2:$C$66,MATCH(B16,BD_PT!$B$2:$B$66,0))*IF(A16="",1,A16),""))</f>
        <v/>
      </c>
      <c r="E16" s="24"/>
      <c r="F16" s="24"/>
    </row>
    <row r="17" ht="15.75" customHeight="1">
      <c r="A17" s="24"/>
      <c r="B17" s="24"/>
      <c r="C17" s="24" t="str">
        <f t="array" ref="C17">IF(B17="","",IFERROR(INDEX(BD_PT!$A$2:$A$66,MATCH(B17,BD_PT!$B$2:$B$66,0)),""))</f>
        <v/>
      </c>
      <c r="D17" s="24" t="str">
        <f t="array" ref="D17">IF(B17="","",IFERROR(INDEX(BD_PT!$C$2:$C$66,MATCH(B17,BD_PT!$B$2:$B$66,0))*IF(A17="",1,A17),""))</f>
        <v/>
      </c>
      <c r="E17" s="24"/>
      <c r="F17" s="24"/>
    </row>
    <row r="18" ht="15.75" customHeight="1">
      <c r="A18" s="24"/>
      <c r="B18" s="24"/>
      <c r="C18" s="24" t="str">
        <f t="array" ref="C18">IF(B18="","",IFERROR(INDEX(BD_PT!$A$2:$A$66,MATCH(B18,BD_PT!$B$2:$B$66,0)),""))</f>
        <v/>
      </c>
      <c r="D18" s="24" t="str">
        <f t="array" ref="D18">IF(B18="","",IFERROR(INDEX(BD_PT!$C$2:$C$66,MATCH(B18,BD_PT!$B$2:$B$66,0))*IF(A18="",1,A18),""))</f>
        <v/>
      </c>
      <c r="E18" s="24"/>
      <c r="F18" s="24"/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192</v>
      </c>
      <c r="I1" s="27">
        <v>1000.0</v>
      </c>
    </row>
    <row r="2" ht="15.75" customHeight="1">
      <c r="A2" s="22">
        <v>1.0</v>
      </c>
      <c r="B2" s="23" t="s">
        <v>14</v>
      </c>
      <c r="C2" s="24" t="str">
        <f t="array" ref="C2">IF(B2="","",IFERROR(INDEX(BD_PT!$A$2:$A$66,MATCH(B2,BD_PT!$B$2:$B$66,0)),""))</f>
        <v>FRES-06</v>
      </c>
      <c r="D2" s="24">
        <f t="array" ref="D2">IF(B2="","",IFERROR(INDEX(BD_PT!$C$2:$C$66,MATCH(B2,BD_PT!$B$2:$B$66,0))*IF(A2="",1,A2),""))</f>
        <v>79</v>
      </c>
      <c r="E2" s="24"/>
      <c r="F2" s="24"/>
      <c r="H2" s="27" t="s">
        <v>193</v>
      </c>
      <c r="I2" s="27">
        <v>610.0</v>
      </c>
    </row>
    <row r="3" ht="15.75" customHeight="1">
      <c r="A3" s="22">
        <v>1.0</v>
      </c>
      <c r="B3" s="22" t="s">
        <v>72</v>
      </c>
      <c r="C3" s="24" t="str">
        <f t="array" ref="C3">IF(B3="","",IFERROR(INDEX(BD_PT!$A$2:$A$66,MATCH(B3,BD_PT!$B$2:$B$66,0)),""))</f>
        <v>POST-10</v>
      </c>
      <c r="D3" s="24">
        <f t="array" ref="D3">IF(B3="","",IFERROR(INDEX(BD_PT!$C$2:$C$66,MATCH(B3,BD_PT!$B$2:$B$66,0))*IF(A3="",1,A3),""))</f>
        <v>20</v>
      </c>
      <c r="E3" s="24"/>
      <c r="F3" s="24"/>
      <c r="H3" s="27" t="s">
        <v>194</v>
      </c>
      <c r="I3" s="27">
        <v>50.0</v>
      </c>
    </row>
    <row r="4" ht="15.75" customHeight="1">
      <c r="A4" s="22">
        <v>1.0</v>
      </c>
      <c r="B4" s="22" t="s">
        <v>76</v>
      </c>
      <c r="C4" s="24" t="str">
        <f t="array" ref="C4">IF(B4="","",IFERROR(INDEX(BD_PT!$A$2:$A$66,MATCH(B4,BD_PT!$B$2:$B$66,0)),""))</f>
        <v>EXTR-01</v>
      </c>
      <c r="D4" s="24">
        <f t="array" ref="D4">IF(B4="","",IFERROR(INDEX(BD_PT!$C$2:$C$66,MATCH(B4,BD_PT!$B$2:$B$66,0))*IF(A4="",1,A4),""))</f>
        <v>10</v>
      </c>
      <c r="E4" s="24"/>
      <c r="F4" s="22" t="s">
        <v>155</v>
      </c>
      <c r="H4" s="27" t="s">
        <v>195</v>
      </c>
      <c r="I4" s="27">
        <v>0.0</v>
      </c>
    </row>
    <row r="5" ht="15.75" customHeight="1">
      <c r="A5" s="22">
        <v>1.0</v>
      </c>
      <c r="B5" s="22" t="s">
        <v>76</v>
      </c>
      <c r="C5" s="24" t="str">
        <f t="array" ref="C5">IF(B5="","",IFERROR(INDEX(BD_PT!$A$2:$A$66,MATCH(B5,BD_PT!$B$2:$B$66,0)),""))</f>
        <v>EXTR-01</v>
      </c>
      <c r="D5" s="24">
        <f t="array" ref="D5">IF(B5="","",IFERROR(INDEX(BD_PT!$C$2:$C$66,MATCH(B5,BD_PT!$B$2:$B$66,0))*IF(A5="",1,A5),""))</f>
        <v>10</v>
      </c>
      <c r="E5" s="24"/>
      <c r="F5" s="22" t="s">
        <v>154</v>
      </c>
    </row>
    <row r="6" ht="15.75" customHeight="1">
      <c r="A6" s="22">
        <v>1.0</v>
      </c>
      <c r="B6" s="22" t="s">
        <v>76</v>
      </c>
      <c r="C6" s="24" t="str">
        <f t="array" ref="C6">IF(B6="","",IFERROR(INDEX(BD_PT!$A$2:$A$66,MATCH(B6,BD_PT!$B$2:$B$66,0)),""))</f>
        <v>EXTR-01</v>
      </c>
      <c r="D6" s="24">
        <f t="array" ref="D6">IF(B6="","",IFERROR(INDEX(BD_PT!$C$2:$C$66,MATCH(B6,BD_PT!$B$2:$B$66,0))*IF(A6="",1,A6),""))</f>
        <v>10</v>
      </c>
      <c r="E6" s="24"/>
      <c r="F6" s="22" t="s">
        <v>196</v>
      </c>
    </row>
    <row r="7" ht="15.75" customHeight="1">
      <c r="A7" s="22">
        <v>1.0</v>
      </c>
      <c r="B7" s="22" t="s">
        <v>6</v>
      </c>
      <c r="C7" s="24" t="str">
        <f t="array" ref="C7">IF(B7="","",IFERROR(INDEX(BD_PT!$A$2:$A$66,MATCH(B7,BD_PT!$B$2:$B$66,0)),""))</f>
        <v>FRES-02</v>
      </c>
      <c r="D7" s="24">
        <f t="array" ref="D7">IF(B7="","",IFERROR(INDEX(BD_PT!$C$2:$C$66,MATCH(B7,BD_PT!$B$2:$B$66,0))*IF(A7="",1,A7),""))</f>
        <v>69</v>
      </c>
      <c r="E7" s="24"/>
      <c r="F7" s="24"/>
    </row>
    <row r="8" ht="15.75" customHeight="1">
      <c r="A8" s="22">
        <v>1.0</v>
      </c>
      <c r="B8" s="22" t="s">
        <v>12</v>
      </c>
      <c r="C8" s="24" t="str">
        <f t="array" ref="C8">IF(B8="","",IFERROR(INDEX(BD_PT!$A$2:$A$66,MATCH(B8,BD_PT!$B$2:$B$66,0)),""))</f>
        <v>FRES-05</v>
      </c>
      <c r="D8" s="24">
        <f t="array" ref="D8">IF(B8="","",IFERROR(INDEX(BD_PT!$C$2:$C$66,MATCH(B8,BD_PT!$B$2:$B$66,0))*IF(A8="",1,A8),""))</f>
        <v>55</v>
      </c>
      <c r="E8" s="24"/>
      <c r="F8" s="24"/>
    </row>
    <row r="9" ht="15.75" customHeight="1">
      <c r="A9" s="22">
        <v>1.0</v>
      </c>
      <c r="B9" s="22" t="s">
        <v>6</v>
      </c>
      <c r="C9" s="24" t="str">
        <f t="array" ref="C9">IF(B9="","",IFERROR(INDEX(BD_PT!$A$2:$A$66,MATCH(B9,BD_PT!$B$2:$B$66,0)),""))</f>
        <v>FRES-02</v>
      </c>
      <c r="D9" s="24">
        <f t="array" ref="D9">IF(B9="","",IFERROR(INDEX(BD_PT!$C$2:$C$66,MATCH(B9,BD_PT!$B$2:$B$66,0))*IF(A9="",1,A9),""))</f>
        <v>69</v>
      </c>
      <c r="E9" s="24"/>
      <c r="F9" s="24"/>
    </row>
    <row r="10" ht="15.75" customHeight="1">
      <c r="A10" s="22">
        <v>1.0</v>
      </c>
      <c r="B10" s="22" t="s">
        <v>4</v>
      </c>
      <c r="C10" s="24" t="str">
        <f t="array" ref="C10">IF(B10="","",IFERROR(INDEX(BD_PT!$A$2:$A$66,MATCH(B10,BD_PT!$B$2:$B$66,0)),""))</f>
        <v>FRES-01</v>
      </c>
      <c r="D10" s="24">
        <f t="array" ref="D10">IF(B10="","",IFERROR(INDEX(BD_PT!$C$2:$C$66,MATCH(B10,BD_PT!$B$2:$B$66,0))*IF(A10="",1,A10),""))</f>
        <v>46</v>
      </c>
      <c r="E10" s="24"/>
      <c r="F10" s="24"/>
    </row>
    <row r="11" ht="15.75" customHeight="1">
      <c r="A11" s="22">
        <v>1.0</v>
      </c>
      <c r="B11" s="22" t="s">
        <v>6</v>
      </c>
      <c r="C11" s="24" t="str">
        <f t="array" ref="C11">IF(B11="","",IFERROR(INDEX(BD_PT!$A$2:$A$66,MATCH(B11,BD_PT!$B$2:$B$66,0)),""))</f>
        <v>FRES-02</v>
      </c>
      <c r="D11" s="24">
        <f t="array" ref="D11">IF(B11="","",IFERROR(INDEX(BD_PT!$C$2:$C$66,MATCH(B11,BD_PT!$B$2:$B$66,0))*IF(A11="",1,A11),""))</f>
        <v>69</v>
      </c>
      <c r="E11" s="24"/>
      <c r="F11" s="24"/>
    </row>
    <row r="12" ht="15.75" customHeight="1">
      <c r="A12" s="22">
        <v>1.0</v>
      </c>
      <c r="B12" s="22" t="s">
        <v>4</v>
      </c>
      <c r="C12" s="24" t="str">
        <f t="array" ref="C12">IF(B12="","",IFERROR(INDEX(BD_PT!$A$2:$A$66,MATCH(B12,BD_PT!$B$2:$B$66,0)),""))</f>
        <v>FRES-01</v>
      </c>
      <c r="D12" s="24">
        <f t="array" ref="D12">IF(B12="","",IFERROR(INDEX(BD_PT!$C$2:$C$66,MATCH(B12,BD_PT!$B$2:$B$66,0))*IF(A12="",1,A12),""))</f>
        <v>46</v>
      </c>
      <c r="E12" s="24"/>
      <c r="F12" s="24"/>
    </row>
    <row r="13" ht="15.75" customHeight="1">
      <c r="A13" s="22">
        <v>1.0</v>
      </c>
      <c r="B13" s="22" t="s">
        <v>64</v>
      </c>
      <c r="C13" s="24" t="str">
        <f t="array" ref="C13">IF(B13="","",IFERROR(INDEX(BD_PT!$A$2:$A$66,MATCH(B13,BD_PT!$B$2:$B$66,0)),""))</f>
        <v>POST-06</v>
      </c>
      <c r="D13" s="24">
        <f t="array" ref="D13">IF(B13="","",IFERROR(INDEX(BD_PT!$C$2:$C$66,MATCH(B13,BD_PT!$B$2:$B$66,0))*IF(A13="",1,A13),""))</f>
        <v>15</v>
      </c>
      <c r="E13" s="24"/>
      <c r="F13" s="24"/>
    </row>
    <row r="14" ht="15.75" customHeight="1">
      <c r="A14" s="22">
        <v>1.0</v>
      </c>
      <c r="B14" s="22" t="s">
        <v>50</v>
      </c>
      <c r="C14" s="24" t="str">
        <f t="array" ref="C14">IF(B14="","",IFERROR(INDEX(BD_PT!$A$2:$A$66,MATCH(B14,BD_PT!$B$2:$B$66,0)),""))</f>
        <v>GALL-04</v>
      </c>
      <c r="D14" s="24">
        <f t="array" ref="D14">IF(B14="","",IFERROR(INDEX(BD_PT!$C$2:$C$66,MATCH(B14,BD_PT!$B$2:$B$66,0))*IF(A14="",1,A14),""))</f>
        <v>39</v>
      </c>
      <c r="E14" s="24"/>
      <c r="F14" s="24"/>
    </row>
    <row r="15" ht="15.75" customHeight="1">
      <c r="A15" s="22">
        <v>1.0</v>
      </c>
      <c r="B15" s="22" t="s">
        <v>99</v>
      </c>
      <c r="C15" s="24" t="str">
        <f t="array" ref="C15">IF(B15="","",IFERROR(INDEX(BD_PT!$A$2:$A$66,MATCH(B15,BD_PT!$B$2:$B$66,0)),""))</f>
        <v>AC2T5</v>
      </c>
      <c r="D15" s="22">
        <v>145.0</v>
      </c>
      <c r="E15" s="22">
        <v>145.0</v>
      </c>
      <c r="F15" s="22" t="s">
        <v>197</v>
      </c>
    </row>
    <row r="16" ht="15.75" customHeight="1">
      <c r="A16" s="22">
        <v>2.0</v>
      </c>
      <c r="B16" s="22" t="s">
        <v>54</v>
      </c>
      <c r="C16" s="24" t="str">
        <f t="array" ref="C16">IF(B16="","",IFERROR(INDEX(BD_PT!$A$2:$A$66,MATCH(B16,BD_PT!$B$2:$B$66,0)),""))</f>
        <v>POST-01</v>
      </c>
      <c r="D16" s="24">
        <f t="array" ref="D16">IF(B16="","",IFERROR(INDEX(BD_PT!$C$2:$C$66,MATCH(B16,BD_PT!$B$2:$B$66,0))*IF(A16="",1,A16),""))</f>
        <v>110</v>
      </c>
      <c r="E16" s="24"/>
      <c r="F16" s="24"/>
    </row>
    <row r="17" ht="15.75" customHeight="1">
      <c r="A17" s="22">
        <v>1.0</v>
      </c>
      <c r="B17" s="22" t="s">
        <v>62</v>
      </c>
      <c r="C17" s="24" t="str">
        <f t="array" ref="C17">IF(B17="","",IFERROR(INDEX(BD_PT!$A$2:$A$66,MATCH(B17,BD_PT!$B$2:$B$66,0)),""))</f>
        <v>POST-05</v>
      </c>
      <c r="D17" s="24">
        <f t="array" ref="D17">IF(B17="","",IFERROR(INDEX(BD_PT!$C$2:$C$66,MATCH(B17,BD_PT!$B$2:$B$66,0))*IF(A17="",1,A17),""))</f>
        <v>11</v>
      </c>
      <c r="E17" s="24"/>
      <c r="F17" s="24"/>
    </row>
    <row r="18" ht="15.75" customHeight="1">
      <c r="A18" s="22">
        <v>1.0</v>
      </c>
      <c r="B18" s="22" t="s">
        <v>66</v>
      </c>
      <c r="C18" s="24" t="str">
        <f t="array" ref="C18">IF(B18="","",IFERROR(INDEX(BD_PT!$A$2:$A$66,MATCH(B18,BD_PT!$B$2:$B$66,0)),""))</f>
        <v>POST-07</v>
      </c>
      <c r="D18" s="22">
        <v>0.0</v>
      </c>
      <c r="E18" s="22">
        <v>44.0</v>
      </c>
      <c r="F18" s="22" t="s">
        <v>198</v>
      </c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</row>
    <row r="2" ht="15.75" customHeight="1">
      <c r="A2" s="22">
        <v>1.0</v>
      </c>
      <c r="B2" s="23" t="s">
        <v>72</v>
      </c>
      <c r="C2" s="24"/>
      <c r="D2" s="24">
        <f t="array" ref="D2">IF(B2="","",IFERROR(INDEX(BD_PT!$C$2:$C$66,MATCH(B2,BD_PT!$B$2:$B$66,0))*IF(A2="",1,A2),""))</f>
        <v>20</v>
      </c>
      <c r="E2" s="24"/>
      <c r="F2" s="24"/>
      <c r="H2" s="27" t="s">
        <v>140</v>
      </c>
      <c r="I2" s="27">
        <v>1000.0</v>
      </c>
    </row>
    <row r="3" ht="15.75" customHeight="1">
      <c r="A3" s="22">
        <v>1.0</v>
      </c>
      <c r="B3" s="22" t="s">
        <v>20</v>
      </c>
      <c r="C3" s="24" t="str">
        <f t="array" ref="C3">IF(B3="","",IFERROR(INDEX(BD_PT!$A$2:$A$66,MATCH(B3,BD_PT!$B$2:$B$66,0)),""))</f>
        <v>FRES-09</v>
      </c>
      <c r="D3" s="22">
        <v>75.79</v>
      </c>
      <c r="E3" s="22">
        <v>79.0</v>
      </c>
      <c r="F3" s="22" t="s">
        <v>147</v>
      </c>
      <c r="H3" s="27" t="s">
        <v>147</v>
      </c>
      <c r="I3" s="28"/>
    </row>
    <row r="4" ht="15.75" customHeight="1">
      <c r="A4" s="22">
        <v>1.0</v>
      </c>
      <c r="B4" s="22" t="s">
        <v>6</v>
      </c>
      <c r="C4" s="24" t="str">
        <f t="array" ref="C4">IF(B4="","",IFERROR(INDEX(BD_PT!$A$2:$A$66,MATCH(B4,BD_PT!$B$2:$B$66,0)),""))</f>
        <v>FRES-02</v>
      </c>
      <c r="D4" s="24">
        <f t="array" ref="D4">IF(B4="","",IFERROR(INDEX(BD_PT!$C$2:$C$66,MATCH(B4,BD_PT!$B$2:$B$66,0))*IF(A4="",1,A4),""))</f>
        <v>69</v>
      </c>
      <c r="E4" s="24"/>
      <c r="F4" s="24"/>
      <c r="H4" s="28"/>
      <c r="I4" s="28"/>
    </row>
    <row r="5" ht="15.75" customHeight="1">
      <c r="A5" s="22">
        <v>1.0</v>
      </c>
      <c r="B5" s="22" t="s">
        <v>101</v>
      </c>
      <c r="C5" s="24" t="str">
        <f t="array" ref="C5">IF(B5="","",IFERROR(INDEX(BD_PT!$A$2:$A$66,MATCH(B5,BD_PT!$B$2:$B$66,0)),""))</f>
        <v>AC3</v>
      </c>
      <c r="D5" s="22">
        <v>60.0</v>
      </c>
      <c r="E5" s="24"/>
      <c r="F5" s="22" t="s">
        <v>166</v>
      </c>
    </row>
    <row r="6" ht="15.75" customHeight="1">
      <c r="A6" s="22">
        <v>1.0</v>
      </c>
      <c r="B6" s="22" t="s">
        <v>6</v>
      </c>
      <c r="C6" s="24" t="str">
        <f t="array" ref="C6">IF(B6="","",IFERROR(INDEX(BD_PT!$A$2:$A$66,MATCH(B6,BD_PT!$B$2:$B$66,0)),""))</f>
        <v>FRES-02</v>
      </c>
      <c r="D6" s="24">
        <f t="array" ref="D6">IF(B6="","",IFERROR(INDEX(BD_PT!$C$2:$C$66,MATCH(B6,BD_PT!$B$2:$B$66,0))*IF(A6="",1,A6),""))</f>
        <v>69</v>
      </c>
      <c r="E6" s="24"/>
      <c r="F6" s="24"/>
    </row>
    <row r="7" ht="15.75" customHeight="1">
      <c r="A7" s="22">
        <v>1.0</v>
      </c>
      <c r="B7" s="22" t="s">
        <v>58</v>
      </c>
      <c r="C7" s="24" t="str">
        <f t="array" ref="C7">IF(B7="","",IFERROR(INDEX(BD_PT!$A$2:$A$66,MATCH(B7,BD_PT!$B$2:$B$66,0)),""))</f>
        <v>POSRT-03</v>
      </c>
      <c r="D7" s="24">
        <f t="array" ref="D7">IF(B7="","",IFERROR(INDEX(BD_PT!$C$2:$C$66,MATCH(B7,BD_PT!$B$2:$B$66,0))*IF(A7="",1,A7),""))</f>
        <v>60</v>
      </c>
      <c r="E7" s="24"/>
      <c r="F7" s="24"/>
    </row>
    <row r="8" ht="15.75" customHeight="1">
      <c r="A8" s="22">
        <v>1.0</v>
      </c>
      <c r="B8" s="22" t="s">
        <v>4</v>
      </c>
      <c r="C8" s="24" t="str">
        <f t="array" ref="C8">IF(B8="","",IFERROR(INDEX(BD_PT!$A$2:$A$66,MATCH(B8,BD_PT!$B$2:$B$66,0)),""))</f>
        <v>FRES-01</v>
      </c>
      <c r="D8" s="24">
        <f t="array" ref="D8">IF(B8="","",IFERROR(INDEX(BD_PT!$C$2:$C$66,MATCH(B8,BD_PT!$B$2:$B$66,0))*IF(A8="",1,A8),""))</f>
        <v>46</v>
      </c>
      <c r="E8" s="24"/>
      <c r="F8" s="24"/>
    </row>
    <row r="9" ht="15.75" customHeight="1">
      <c r="A9" s="24"/>
      <c r="B9" s="24"/>
      <c r="C9" s="24" t="str">
        <f t="array" ref="C9">IF(B9="","",IFERROR(INDEX(BD_PT!$A$2:$A$66,MATCH(B9,BD_PT!$B$2:$B$66,0)),""))</f>
        <v/>
      </c>
      <c r="D9" s="24" t="str">
        <f t="array" ref="D9">IF(B9="","",IFERROR(INDEX(BD_PT!$C$2:$C$66,MATCH(B9,BD_PT!$B$2:$B$66,0))*IF(A9="",1,A9),""))</f>
        <v/>
      </c>
      <c r="E9" s="24"/>
      <c r="F9" s="24"/>
    </row>
    <row r="10" ht="15.75" customHeight="1">
      <c r="A10" s="24"/>
      <c r="B10" s="24"/>
      <c r="C10" s="24" t="str">
        <f t="array" ref="C10">IF(B10="","",IFERROR(INDEX(BD_PT!$A$2:$A$66,MATCH(B10,BD_PT!$B$2:$B$66,0)),""))</f>
        <v/>
      </c>
      <c r="D10" s="24" t="str">
        <f t="array" ref="D10">IF(B10="","",IFERROR(INDEX(BD_PT!$C$2:$C$66,MATCH(B10,BD_PT!$B$2:$B$66,0))*IF(A10="",1,A10),""))</f>
        <v/>
      </c>
      <c r="E10" s="24"/>
      <c r="F10" s="24"/>
    </row>
    <row r="11" ht="15.75" customHeight="1">
      <c r="A11" s="24"/>
      <c r="B11" s="24"/>
      <c r="C11" s="24" t="str">
        <f t="array" ref="C11">IF(B11="","",IFERROR(INDEX(BD_PT!$A$2:$A$66,MATCH(B11,BD_PT!$B$2:$B$66,0)),""))</f>
        <v/>
      </c>
      <c r="D11" s="24" t="str">
        <f t="array" ref="D11">IF(B11="","",IFERROR(INDEX(BD_PT!$C$2:$C$66,MATCH(B11,BD_PT!$B$2:$B$66,0))*IF(A11="",1,A11),""))</f>
        <v/>
      </c>
      <c r="E11" s="24"/>
      <c r="F11" s="24"/>
    </row>
    <row r="12" ht="15.75" customHeight="1">
      <c r="A12" s="24"/>
      <c r="B12" s="24"/>
      <c r="C12" s="24" t="str">
        <f t="array" ref="C12">IF(B12="","",IFERROR(INDEX(BD_PT!$A$2:$A$66,MATCH(B12,BD_PT!$B$2:$B$66,0)),""))</f>
        <v/>
      </c>
      <c r="D12" s="24" t="str">
        <f t="array" ref="D12">IF(B12="","",IFERROR(INDEX(BD_PT!$C$2:$C$66,MATCH(B12,BD_PT!$B$2:$B$66,0))*IF(A12="",1,A12),""))</f>
        <v/>
      </c>
      <c r="E12" s="24"/>
      <c r="F12" s="24"/>
    </row>
    <row r="13" ht="15.75" customHeight="1">
      <c r="A13" s="24"/>
      <c r="B13" s="24"/>
      <c r="C13" s="24" t="str">
        <f t="array" ref="C13">IF(B13="","",IFERROR(INDEX(BD_PT!$A$2:$A$66,MATCH(B13,BD_PT!$B$2:$B$66,0)),""))</f>
        <v/>
      </c>
      <c r="D13" s="24" t="str">
        <f t="array" ref="D13">IF(B13="","",IFERROR(INDEX(BD_PT!$C$2:$C$66,MATCH(B13,BD_PT!$B$2:$B$66,0))*IF(A13="",1,A13),""))</f>
        <v/>
      </c>
      <c r="E13" s="24"/>
      <c r="F13" s="24"/>
    </row>
    <row r="14" ht="15.75" customHeight="1">
      <c r="A14" s="24"/>
      <c r="B14" s="24"/>
      <c r="C14" s="24" t="str">
        <f t="array" ref="C14">IF(B14="","",IFERROR(INDEX(BD_PT!$A$2:$A$66,MATCH(B14,BD_PT!$B$2:$B$66,0)),""))</f>
        <v/>
      </c>
      <c r="D14" s="24" t="str">
        <f t="array" ref="D14">IF(B14="","",IFERROR(INDEX(BD_PT!$C$2:$C$66,MATCH(B14,BD_PT!$B$2:$B$66,0))*IF(A14="",1,A14),""))</f>
        <v/>
      </c>
      <c r="E14" s="24"/>
      <c r="F14" s="24"/>
    </row>
    <row r="15" ht="15.75" customHeight="1">
      <c r="A15" s="24"/>
      <c r="B15" s="24"/>
      <c r="C15" s="24" t="str">
        <f t="array" ref="C15">IF(B15="","",IFERROR(INDEX(BD_PT!$A$2:$A$66,MATCH(B15,BD_PT!$B$2:$B$66,0)),""))</f>
        <v/>
      </c>
      <c r="D15" s="24" t="str">
        <f t="array" ref="D15">IF(B15="","",IFERROR(INDEX(BD_PT!$C$2:$C$66,MATCH(B15,BD_PT!$B$2:$B$66,0))*IF(A15="",1,A15),""))</f>
        <v/>
      </c>
      <c r="E15" s="24"/>
      <c r="F15" s="24"/>
    </row>
    <row r="16" ht="15.75" customHeight="1">
      <c r="A16" s="24"/>
      <c r="B16" s="24"/>
      <c r="C16" s="24" t="str">
        <f t="array" ref="C16">IF(B16="","",IFERROR(INDEX(BD_PT!$A$2:$A$66,MATCH(B16,BD_PT!$B$2:$B$66,0)),""))</f>
        <v/>
      </c>
      <c r="D16" s="24" t="str">
        <f t="array" ref="D16">IF(B16="","",IFERROR(INDEX(BD_PT!$C$2:$C$66,MATCH(B16,BD_PT!$B$2:$B$66,0))*IF(A16="",1,A16),""))</f>
        <v/>
      </c>
      <c r="E16" s="24"/>
      <c r="F16" s="24"/>
    </row>
    <row r="17" ht="15.75" customHeight="1">
      <c r="A17" s="24"/>
      <c r="B17" s="24"/>
      <c r="C17" s="24" t="str">
        <f t="array" ref="C17">IF(B17="","",IFERROR(INDEX(BD_PT!$A$2:$A$66,MATCH(B17,BD_PT!$B$2:$B$66,0)),""))</f>
        <v/>
      </c>
      <c r="D17" s="24" t="str">
        <f t="array" ref="D17">IF(B17="","",IFERROR(INDEX(BD_PT!$C$2:$C$66,MATCH(B17,BD_PT!$B$2:$B$66,0))*IF(A17="",1,A17),""))</f>
        <v/>
      </c>
      <c r="E17" s="24"/>
      <c r="F17" s="24"/>
    </row>
    <row r="18" ht="15.75" customHeight="1">
      <c r="A18" s="24"/>
      <c r="B18" s="24"/>
      <c r="C18" s="24" t="str">
        <f t="array" ref="C18">IF(B18="","",IFERROR(INDEX(BD_PT!$A$2:$A$66,MATCH(B18,BD_PT!$B$2:$B$66,0)),""))</f>
        <v/>
      </c>
      <c r="D18" s="24" t="str">
        <f t="array" ref="D18">IF(B18="","",IFERROR(INDEX(BD_PT!$C$2:$C$66,MATCH(B18,BD_PT!$B$2:$B$66,0))*IF(A18="",1,A18),""))</f>
        <v/>
      </c>
      <c r="E18" s="24"/>
      <c r="F18" s="24"/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192</v>
      </c>
      <c r="I1" s="27">
        <v>1000.0</v>
      </c>
    </row>
    <row r="2" ht="15.75" customHeight="1">
      <c r="A2" s="22">
        <v>1.0</v>
      </c>
      <c r="B2" s="23" t="s">
        <v>60</v>
      </c>
      <c r="C2" s="24" t="str">
        <f t="array" ref="C2">IF(B2="","",IFERROR(INDEX(BD_PT!$A$2:$A$66,MATCH(B2,BD_PT!$B$2:$B$66,0)),""))</f>
        <v>POST-04</v>
      </c>
      <c r="D2" s="22">
        <v>0.0</v>
      </c>
      <c r="E2" s="22">
        <v>30.0</v>
      </c>
      <c r="F2" s="22" t="s">
        <v>184</v>
      </c>
      <c r="H2" s="27" t="s">
        <v>151</v>
      </c>
      <c r="I2" s="28">
        <f>900+28</f>
        <v>928</v>
      </c>
    </row>
    <row r="3" ht="15.75" customHeight="1">
      <c r="A3" s="22">
        <v>1.0</v>
      </c>
      <c r="B3" s="22" t="s">
        <v>6</v>
      </c>
      <c r="C3" s="24" t="str">
        <f t="array" ref="C3">IF(B3="","",IFERROR(INDEX(BD_PT!$A$2:$A$66,MATCH(B3,BD_PT!$B$2:$B$66,0)),""))</f>
        <v>FRES-02</v>
      </c>
      <c r="D3" s="24">
        <f t="array" ref="D3">IF(B3="","",IFERROR(INDEX(BD_PT!$C$2:$C$66,MATCH(B3,BD_PT!$B$2:$B$66,0))*IF(A3="",1,A3),""))</f>
        <v>69</v>
      </c>
      <c r="E3" s="24"/>
      <c r="F3" s="24"/>
      <c r="H3" s="27" t="s">
        <v>147</v>
      </c>
      <c r="I3" s="28">
        <f>69.08+66.2</f>
        <v>135.28</v>
      </c>
    </row>
    <row r="4" ht="15.75" customHeight="1">
      <c r="A4" s="22">
        <v>1.0</v>
      </c>
      <c r="B4" s="22" t="s">
        <v>4</v>
      </c>
      <c r="C4" s="24" t="str">
        <f t="array" ref="C4">IF(B4="","",IFERROR(INDEX(BD_PT!$A$2:$A$66,MATCH(B4,BD_PT!$B$2:$B$66,0)),""))</f>
        <v>FRES-01</v>
      </c>
      <c r="D4" s="24">
        <f t="array" ref="D4">IF(B4="","",IFERROR(INDEX(BD_PT!$C$2:$C$66,MATCH(B4,BD_PT!$B$2:$B$66,0))*IF(A4="",1,A4),""))</f>
        <v>46</v>
      </c>
      <c r="E4" s="24"/>
      <c r="F4" s="24"/>
      <c r="H4" s="27" t="s">
        <v>199</v>
      </c>
      <c r="I4" s="28"/>
    </row>
    <row r="5" ht="15.75" customHeight="1">
      <c r="A5" s="22">
        <v>1.0</v>
      </c>
      <c r="B5" s="22" t="s">
        <v>58</v>
      </c>
      <c r="C5" s="24" t="str">
        <f t="array" ref="C5">IF(B5="","",IFERROR(INDEX(BD_PT!$A$2:$A$66,MATCH(B5,BD_PT!$B$2:$B$66,0)),""))</f>
        <v>POSRT-03</v>
      </c>
      <c r="D5" s="24">
        <f t="array" ref="D5">IF(B5="","",IFERROR(INDEX(BD_PT!$C$2:$C$66,MATCH(B5,BD_PT!$B$2:$B$66,0))*IF(A5="",1,A5),""))</f>
        <v>60</v>
      </c>
      <c r="E5" s="24"/>
      <c r="F5" s="24"/>
    </row>
    <row r="6" ht="15.75" customHeight="1">
      <c r="A6" s="22">
        <v>1.0</v>
      </c>
      <c r="B6" s="22" t="s">
        <v>56</v>
      </c>
      <c r="C6" s="24" t="str">
        <f t="array" ref="C6">IF(B6="","",IFERROR(INDEX(BD_PT!$A$2:$A$66,MATCH(B6,BD_PT!$B$2:$B$66,0)),""))</f>
        <v>POST-02</v>
      </c>
      <c r="D6" s="22">
        <v>0.0</v>
      </c>
      <c r="E6" s="22">
        <v>55.0</v>
      </c>
      <c r="F6" s="22" t="s">
        <v>156</v>
      </c>
    </row>
    <row r="7" ht="15.75" customHeight="1">
      <c r="A7" s="22">
        <v>1.0</v>
      </c>
      <c r="B7" s="22" t="s">
        <v>99</v>
      </c>
      <c r="C7" s="24" t="str">
        <f t="array" ref="C7">IF(B7="","",IFERROR(INDEX(BD_PT!$A$2:$A$66,MATCH(B7,BD_PT!$B$2:$B$66,0)),""))</f>
        <v>AC2T5</v>
      </c>
      <c r="D7" s="22">
        <v>165.0</v>
      </c>
      <c r="E7" s="24"/>
      <c r="F7" s="22" t="s">
        <v>148</v>
      </c>
    </row>
    <row r="8" ht="15.75" customHeight="1">
      <c r="A8" s="22">
        <v>1.0</v>
      </c>
      <c r="B8" s="22" t="s">
        <v>72</v>
      </c>
      <c r="C8" s="24" t="str">
        <f t="array" ref="C8">IF(B8="","",IFERROR(INDEX(BD_PT!$A$2:$A$66,MATCH(B8,BD_PT!$B$2:$B$66,0)),""))</f>
        <v>POST-10</v>
      </c>
      <c r="D8" s="24">
        <f t="array" ref="D8">IF(B8="","",IFERROR(INDEX(BD_PT!$C$2:$C$66,MATCH(B8,BD_PT!$B$2:$B$66,0))*IF(A8="",1,A8),""))</f>
        <v>20</v>
      </c>
      <c r="E8" s="24"/>
      <c r="F8" s="24"/>
    </row>
    <row r="9" ht="15.75" customHeight="1">
      <c r="A9" s="22">
        <v>1.0</v>
      </c>
      <c r="B9" s="22" t="s">
        <v>54</v>
      </c>
      <c r="C9" s="24" t="str">
        <f t="array" ref="C9">IF(B9="","",IFERROR(INDEX(BD_PT!$A$2:$A$66,MATCH(B9,BD_PT!$B$2:$B$66,0)),""))</f>
        <v>POST-01</v>
      </c>
      <c r="D9" s="24">
        <f t="array" ref="D9">IF(B9="","",IFERROR(INDEX(BD_PT!$C$2:$C$66,MATCH(B9,BD_PT!$B$2:$B$66,0))*IF(A9="",1,A9),""))</f>
        <v>55</v>
      </c>
      <c r="E9" s="24"/>
      <c r="F9" s="24"/>
    </row>
    <row r="10" ht="15.75" customHeight="1">
      <c r="A10" s="22">
        <v>1.0</v>
      </c>
      <c r="B10" s="22" t="s">
        <v>56</v>
      </c>
      <c r="C10" s="24" t="str">
        <f t="array" ref="C10">IF(B10="","",IFERROR(INDEX(BD_PT!$A$2:$A$66,MATCH(B10,BD_PT!$B$2:$B$66,0)),""))</f>
        <v>POST-02</v>
      </c>
      <c r="D10" s="22">
        <v>0.0</v>
      </c>
      <c r="E10" s="22">
        <v>55.0</v>
      </c>
      <c r="F10" s="22" t="s">
        <v>156</v>
      </c>
    </row>
    <row r="11" ht="15.75" customHeight="1">
      <c r="A11" s="22">
        <v>1.0</v>
      </c>
      <c r="B11" s="22" t="s">
        <v>24</v>
      </c>
      <c r="C11" s="24" t="str">
        <f t="array" ref="C11">IF(B11="","",IFERROR(INDEX(BD_PT!$A$2:$A$66,MATCH(B11,BD_PT!$B$2:$B$66,0)),""))</f>
        <v>FRES-11</v>
      </c>
      <c r="D11" s="24">
        <f t="array" ref="D11">IF(B11="","",IFERROR(INDEX(BD_PT!$C$2:$C$66,MATCH(B11,BD_PT!$B$2:$B$66,0))*IF(A11="",1,A11),""))</f>
        <v>128</v>
      </c>
      <c r="E11" s="24"/>
      <c r="F11" s="24"/>
    </row>
    <row r="12" ht="15.75" customHeight="1">
      <c r="A12" s="22">
        <v>1.0</v>
      </c>
      <c r="B12" s="22" t="s">
        <v>8</v>
      </c>
      <c r="C12" s="24" t="str">
        <f t="array" ref="C12">IF(B12="","",IFERROR(INDEX(BD_PT!$A$2:$A$66,MATCH(B12,BD_PT!$B$2:$B$66,0)),""))</f>
        <v>FRES-03</v>
      </c>
      <c r="D12" s="24">
        <f t="array" ref="D12">IF(B12="","",IFERROR(INDEX(BD_PT!$C$2:$C$66,MATCH(B12,BD_PT!$B$2:$B$66,0))*IF(A12="",1,A12),""))</f>
        <v>89</v>
      </c>
      <c r="E12" s="24"/>
      <c r="F12" s="24"/>
    </row>
    <row r="13" ht="15.75" customHeight="1">
      <c r="A13" s="22">
        <v>1.0</v>
      </c>
      <c r="B13" s="22" t="s">
        <v>6</v>
      </c>
      <c r="C13" s="24" t="str">
        <f t="array" ref="C13">IF(B13="","",IFERROR(INDEX(BD_PT!$A$2:$A$66,MATCH(B13,BD_PT!$B$2:$B$66,0)),""))</f>
        <v>FRES-02</v>
      </c>
      <c r="D13" s="24">
        <f t="array" ref="D13">IF(B13="","",IFERROR(INDEX(BD_PT!$C$2:$C$66,MATCH(B13,BD_PT!$B$2:$B$66,0))*IF(A13="",1,A13),""))</f>
        <v>69</v>
      </c>
      <c r="E13" s="24"/>
      <c r="F13" s="24"/>
    </row>
    <row r="14" ht="15.75" customHeight="1">
      <c r="A14" s="22">
        <v>1.0</v>
      </c>
      <c r="B14" s="22" t="s">
        <v>54</v>
      </c>
      <c r="C14" s="24" t="str">
        <f t="array" ref="C14">IF(B14="","",IFERROR(INDEX(BD_PT!$A$2:$A$66,MATCH(B14,BD_PT!$B$2:$B$66,0)),""))</f>
        <v>POST-01</v>
      </c>
      <c r="D14" s="24">
        <f t="array" ref="D14">IF(B14="","",IFERROR(INDEX(BD_PT!$C$2:$C$66,MATCH(B14,BD_PT!$B$2:$B$66,0))*IF(A14="",1,A14),""))</f>
        <v>55</v>
      </c>
      <c r="E14" s="24"/>
      <c r="F14" s="24"/>
    </row>
    <row r="15" ht="15.75" customHeight="1">
      <c r="A15" s="22">
        <v>1.0</v>
      </c>
      <c r="B15" s="22" t="s">
        <v>54</v>
      </c>
      <c r="C15" s="24" t="str">
        <f t="array" ref="C15">IF(B15="","",IFERROR(INDEX(BD_PT!$A$2:$A$66,MATCH(B15,BD_PT!$B$2:$B$66,0)),""))</f>
        <v>POST-01</v>
      </c>
      <c r="D15" s="22">
        <v>0.0</v>
      </c>
      <c r="E15" s="22">
        <v>55.0</v>
      </c>
      <c r="F15" s="22" t="s">
        <v>156</v>
      </c>
    </row>
    <row r="16" ht="15.75" customHeight="1">
      <c r="A16" s="22">
        <v>1.0</v>
      </c>
      <c r="B16" s="22" t="s">
        <v>4</v>
      </c>
      <c r="C16" s="24" t="str">
        <f t="array" ref="C16">IF(B16="","",IFERROR(INDEX(BD_PT!$A$2:$A$66,MATCH(B16,BD_PT!$B$2:$B$66,0)),""))</f>
        <v>FRES-01</v>
      </c>
      <c r="D16" s="24">
        <f t="array" ref="D16">IF(B16="","",IFERROR(INDEX(BD_PT!$C$2:$C$66,MATCH(B16,BD_PT!$B$2:$B$66,0))*IF(A16="",1,A16),""))</f>
        <v>46</v>
      </c>
      <c r="E16" s="24"/>
      <c r="F16" s="24"/>
    </row>
    <row r="17" ht="15.75" customHeight="1">
      <c r="A17" s="22">
        <v>1.0</v>
      </c>
      <c r="B17" s="22" t="s">
        <v>129</v>
      </c>
      <c r="C17" s="24" t="str">
        <f t="array" ref="C17">IF(B17="","",IFERROR(INDEX(BD_PT!$A$2:$A$66,MATCH(B17,BD_PT!$B$2:$B$66,0)),""))</f>
        <v>PT2</v>
      </c>
      <c r="D17" s="24">
        <f>79*0.9567</f>
        <v>75.5793</v>
      </c>
      <c r="E17" s="24"/>
      <c r="F17" s="22" t="s">
        <v>200</v>
      </c>
    </row>
    <row r="18" ht="15.75" customHeight="1">
      <c r="A18" s="22">
        <v>1.0</v>
      </c>
      <c r="B18" s="22" t="s">
        <v>72</v>
      </c>
      <c r="C18" s="24" t="str">
        <f t="array" ref="C18">IF(B18="","",IFERROR(INDEX(BD_PT!$A$2:$A$66,MATCH(B18,BD_PT!$B$2:$B$66,0)),""))</f>
        <v>POST-10</v>
      </c>
      <c r="D18" s="24">
        <f t="array" ref="D18">IF(B18="","",IFERROR(INDEX(BD_PT!$C$2:$C$66,MATCH(B18,BD_PT!$B$2:$B$66,0))*IF(A18="",1,A18),""))</f>
        <v>20</v>
      </c>
      <c r="E18" s="24"/>
      <c r="F18" s="24"/>
    </row>
    <row r="19" ht="15.75" customHeight="1">
      <c r="A19" s="22">
        <v>1.0</v>
      </c>
      <c r="B19" s="22" t="s">
        <v>58</v>
      </c>
      <c r="C19" s="24" t="str">
        <f t="array" ref="C19">IF(B19="","",IFERROR(INDEX(BD_PT!$A$2:$A$66,MATCH(B19,BD_PT!$B$2:$B$66,0)),""))</f>
        <v>POSRT-03</v>
      </c>
      <c r="D19" s="24">
        <f t="array" ref="D19">IF(B19="","",IFERROR(INDEX(BD_PT!$C$2:$C$66,MATCH(B19,BD_PT!$B$2:$B$66,0))*IF(A19="",1,A19),""))</f>
        <v>60</v>
      </c>
      <c r="E19" s="24"/>
      <c r="F19" s="24"/>
    </row>
    <row r="20" ht="15.75" customHeight="1">
      <c r="A20" s="22">
        <v>1.0</v>
      </c>
      <c r="B20" s="22" t="s">
        <v>54</v>
      </c>
      <c r="C20" s="24" t="str">
        <f t="array" ref="C20">IF(B20="","",IFERROR(INDEX(BD_PT!$A$2:$A$66,MATCH(B20,BD_PT!$B$2:$B$66,0)),""))</f>
        <v>POST-01</v>
      </c>
      <c r="D20" s="22">
        <v>0.0</v>
      </c>
      <c r="E20" s="24"/>
      <c r="F20" s="22" t="s">
        <v>156</v>
      </c>
    </row>
    <row r="21" ht="15.75" customHeight="1">
      <c r="A21" s="22">
        <v>1.0</v>
      </c>
      <c r="B21" s="22" t="s">
        <v>6</v>
      </c>
      <c r="C21" s="24" t="str">
        <f t="array" ref="C21">IF(B21="","",IFERROR(INDEX(BD_PT!$A$2:$A$66,MATCH(B21,BD_PT!$B$2:$B$66,0)),""))</f>
        <v>FRES-02</v>
      </c>
      <c r="D21" s="24">
        <f>69*0.9567</f>
        <v>66.0123</v>
      </c>
      <c r="E21" s="24"/>
      <c r="F21" s="22" t="s">
        <v>147</v>
      </c>
    </row>
    <row r="22" ht="15.75" customHeight="1">
      <c r="A22" s="22">
        <v>1.0</v>
      </c>
      <c r="B22" s="22" t="s">
        <v>4</v>
      </c>
      <c r="C22" s="24" t="str">
        <f t="array" ref="C22">IF(B22="","",IFERROR(INDEX(BD_PT!$A$2:$A$66,MATCH(B22,BD_PT!$B$2:$B$66,0)),""))</f>
        <v>FRES-01</v>
      </c>
      <c r="D22" s="24">
        <f t="array" ref="D22">IF(B22="","",IFERROR(INDEX(BD_PT!$C$2:$C$66,MATCH(B22,BD_PT!$B$2:$B$66,0))*IF(A22="",1,A22),""))</f>
        <v>46</v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6.75"/>
    <col customWidth="1" min="2" max="2" width="34.25"/>
    <col customWidth="1" min="3" max="3" width="14.13"/>
    <col customWidth="1" min="5" max="5" width="8.63"/>
    <col customWidth="1" min="6" max="6" width="16.25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192</v>
      </c>
      <c r="I1" s="27">
        <v>1000.0</v>
      </c>
    </row>
    <row r="2" ht="15.75" customHeight="1">
      <c r="A2" s="22">
        <v>1.0</v>
      </c>
      <c r="B2" s="23" t="s">
        <v>101</v>
      </c>
      <c r="C2" s="24" t="str">
        <f t="array" ref="C2">IF(B2="","",IFERROR(INDEX(BD_PT!$A$2:$A$66,MATCH(B2,BD_PT!$B$2:$B$66,0)),""))</f>
        <v>AC3</v>
      </c>
      <c r="D2" s="22">
        <v>135.0</v>
      </c>
      <c r="E2" s="24"/>
      <c r="F2" s="22" t="s">
        <v>165</v>
      </c>
      <c r="H2" s="27" t="s">
        <v>151</v>
      </c>
      <c r="I2" s="28">
        <f>116+308+1200</f>
        <v>1624</v>
      </c>
    </row>
    <row r="3" ht="15.75" customHeight="1">
      <c r="A3" s="22">
        <v>4.0</v>
      </c>
      <c r="B3" s="22" t="s">
        <v>94</v>
      </c>
      <c r="C3" s="24" t="str">
        <f t="array" ref="C3">IF(B3="","",IFERROR(INDEX(BD_PT!$A$2:$A$66,MATCH(B3,BD_PT!$B$2:$B$66,0)),""))</f>
        <v>TOPP-15MAZ</v>
      </c>
      <c r="D3" s="24">
        <f t="array" ref="D3">IF(B3="","",IFERROR(INDEX(BD_PT!$C$2:$C$66,MATCH(B3,BD_PT!$B$2:$B$66,0))*IF(A3="",1,A3),""))</f>
        <v>20</v>
      </c>
      <c r="E3" s="24"/>
      <c r="F3" s="24"/>
      <c r="H3" s="27" t="s">
        <v>147</v>
      </c>
      <c r="I3" s="27">
        <v>115.0</v>
      </c>
    </row>
    <row r="4" ht="15.75" customHeight="1">
      <c r="A4" s="22">
        <v>1.0</v>
      </c>
      <c r="B4" s="22" t="s">
        <v>56</v>
      </c>
      <c r="C4" s="24" t="str">
        <f t="array" ref="C4">IF(B4="","",IFERROR(INDEX(BD_PT!$A$2:$A$66,MATCH(B4,BD_PT!$B$2:$B$66,0)),""))</f>
        <v>POST-02</v>
      </c>
      <c r="D4" s="24">
        <f t="array" ref="D4">IF(B4="","",IFERROR(INDEX(BD_PT!$C$2:$C$66,MATCH(B4,BD_PT!$B$2:$B$66,0))*IF(A4="",1,A4),""))</f>
        <v>55</v>
      </c>
      <c r="E4" s="24"/>
      <c r="F4" s="24"/>
    </row>
    <row r="5" ht="15.75" customHeight="1">
      <c r="A5" s="22">
        <v>1.0</v>
      </c>
      <c r="B5" s="22" t="s">
        <v>54</v>
      </c>
      <c r="C5" s="24" t="str">
        <f t="array" ref="C5">IF(B5="","",IFERROR(INDEX(BD_PT!$A$2:$A$66,MATCH(B5,BD_PT!$B$2:$B$66,0)),""))</f>
        <v>POST-01</v>
      </c>
      <c r="D5" s="22">
        <v>0.0</v>
      </c>
      <c r="E5" s="22">
        <v>55.0</v>
      </c>
      <c r="F5" s="22" t="s">
        <v>181</v>
      </c>
    </row>
    <row r="6" ht="15.75" customHeight="1">
      <c r="A6" s="22">
        <v>1.0</v>
      </c>
      <c r="B6" s="22" t="s">
        <v>4</v>
      </c>
      <c r="C6" s="24" t="str">
        <f t="array" ref="C6">IF(B6="","",IFERROR(INDEX(BD_PT!$A$2:$A$66,MATCH(B6,BD_PT!$B$2:$B$66,0)),""))</f>
        <v>FRES-01</v>
      </c>
      <c r="D6" s="24">
        <f t="array" ref="D6">IF(B6="","",IFERROR(INDEX(BD_PT!$C$2:$C$66,MATCH(B6,BD_PT!$B$2:$B$66,0))*IF(A6="",1,A6),""))</f>
        <v>46</v>
      </c>
      <c r="E6" s="24"/>
      <c r="F6" s="24"/>
    </row>
    <row r="7" ht="15.75" customHeight="1">
      <c r="A7" s="22">
        <v>1.0</v>
      </c>
      <c r="B7" s="22" t="s">
        <v>58</v>
      </c>
      <c r="C7" s="24" t="str">
        <f t="array" ref="C7">IF(B7="","",IFERROR(INDEX(BD_PT!$A$2:$A$66,MATCH(B7,BD_PT!$B$2:$B$66,0)),""))</f>
        <v>POSRT-03</v>
      </c>
      <c r="D7" s="24">
        <f t="array" ref="D7">IF(B7="","",IFERROR(INDEX(BD_PT!$C$2:$C$66,MATCH(B7,BD_PT!$B$2:$B$66,0))*IF(A7="",1,A7),""))</f>
        <v>60</v>
      </c>
      <c r="E7" s="24"/>
      <c r="F7" s="24"/>
    </row>
    <row r="8" ht="15.75" customHeight="1">
      <c r="A8" s="22">
        <v>1.0</v>
      </c>
      <c r="B8" s="22" t="s">
        <v>54</v>
      </c>
      <c r="C8" s="24" t="str">
        <f t="array" ref="C8">IF(B8="","",IFERROR(INDEX(BD_PT!$A$2:$A$66,MATCH(B8,BD_PT!$B$2:$B$66,0)),""))</f>
        <v>POST-01</v>
      </c>
      <c r="D8" s="22">
        <v>0.0</v>
      </c>
      <c r="E8" s="24"/>
      <c r="F8" s="22" t="s">
        <v>181</v>
      </c>
    </row>
    <row r="9" ht="15.75" customHeight="1">
      <c r="A9" s="22">
        <v>1.0</v>
      </c>
      <c r="B9" s="22" t="s">
        <v>58</v>
      </c>
      <c r="C9" s="24" t="str">
        <f t="array" ref="C9">IF(B9="","",IFERROR(INDEX(BD_PT!$A$2:$A$66,MATCH(B9,BD_PT!$B$2:$B$66,0)),""))</f>
        <v>POSRT-03</v>
      </c>
      <c r="D9" s="24">
        <f t="array" ref="D9">IF(B9="","",IFERROR(INDEX(BD_PT!$C$2:$C$66,MATCH(B9,BD_PT!$B$2:$B$66,0))*IF(A9="",1,A9),""))</f>
        <v>60</v>
      </c>
      <c r="E9" s="24"/>
      <c r="F9" s="24"/>
    </row>
    <row r="10" ht="15.75" customHeight="1">
      <c r="A10" s="22">
        <v>1.0</v>
      </c>
      <c r="B10" s="22" t="s">
        <v>58</v>
      </c>
      <c r="C10" s="24" t="str">
        <f t="array" ref="C10">IF(B10="","",IFERROR(INDEX(BD_PT!$A$2:$A$66,MATCH(B10,BD_PT!$B$2:$B$66,0)),""))</f>
        <v>POSRT-03</v>
      </c>
      <c r="D10" s="22">
        <v>0.0</v>
      </c>
      <c r="E10" s="24"/>
      <c r="F10" s="22" t="s">
        <v>181</v>
      </c>
    </row>
    <row r="11" ht="15.75" customHeight="1">
      <c r="A11" s="22">
        <v>1.0</v>
      </c>
      <c r="B11" s="22" t="s">
        <v>101</v>
      </c>
      <c r="C11" s="24" t="str">
        <f t="array" ref="C11">IF(B11="","",IFERROR(INDEX(BD_PT!$A$2:$A$66,MATCH(B11,BD_PT!$B$2:$B$66,0)),""))</f>
        <v>AC3</v>
      </c>
      <c r="D11" s="22">
        <v>135.0</v>
      </c>
      <c r="E11" s="24"/>
      <c r="F11" s="22" t="s">
        <v>165</v>
      </c>
    </row>
    <row r="12" ht="15.75" customHeight="1">
      <c r="A12" s="22">
        <v>1.0</v>
      </c>
      <c r="B12" s="22" t="s">
        <v>125</v>
      </c>
      <c r="C12" s="24" t="str">
        <f t="array" ref="C12">IF(B12="","",IFERROR(INDEX(BD_PT!$A$2:$A$66,MATCH(B12,BD_PT!$B$2:$B$66,0)),""))</f>
        <v>PT1.8</v>
      </c>
      <c r="D12" s="22">
        <v>340.0</v>
      </c>
      <c r="E12" s="24"/>
      <c r="F12" s="22" t="s">
        <v>165</v>
      </c>
    </row>
    <row r="13" ht="15.75" customHeight="1">
      <c r="A13" s="22">
        <v>1.0</v>
      </c>
      <c r="B13" s="22" t="s">
        <v>58</v>
      </c>
      <c r="C13" s="24" t="str">
        <f t="array" ref="C13">IF(B13="","",IFERROR(INDEX(BD_PT!$A$2:$A$66,MATCH(B13,BD_PT!$B$2:$B$66,0)),""))</f>
        <v>POSRT-03</v>
      </c>
      <c r="D13" s="24">
        <f t="array" ref="D13">IF(B13="","",IFERROR(INDEX(BD_PT!$C$2:$C$66,MATCH(B13,BD_PT!$B$2:$B$66,0))*IF(A13="",1,A13),""))</f>
        <v>60</v>
      </c>
      <c r="E13" s="24"/>
      <c r="F13" s="22" t="s">
        <v>169</v>
      </c>
    </row>
    <row r="14" ht="15.75" customHeight="1">
      <c r="A14" s="22">
        <v>1.0</v>
      </c>
      <c r="B14" s="22" t="s">
        <v>58</v>
      </c>
      <c r="C14" s="24" t="str">
        <f t="array" ref="C14">IF(B14="","",IFERROR(INDEX(BD_PT!$A$2:$A$66,MATCH(B14,BD_PT!$B$2:$B$66,0)),""))</f>
        <v>POSRT-03</v>
      </c>
      <c r="D14" s="22">
        <v>0.0</v>
      </c>
      <c r="E14" s="24"/>
      <c r="F14" s="22" t="s">
        <v>181</v>
      </c>
    </row>
    <row r="15" ht="15.75" customHeight="1">
      <c r="A15" s="22">
        <v>1.0</v>
      </c>
      <c r="B15" s="22" t="s">
        <v>54</v>
      </c>
      <c r="C15" s="24" t="str">
        <f t="array" ref="C15">IF(B15="","",IFERROR(INDEX(BD_PT!$A$2:$A$66,MATCH(B15,BD_PT!$B$2:$B$66,0)),""))</f>
        <v>POST-01</v>
      </c>
      <c r="D15" s="24">
        <f t="array" ref="D15">IF(B15="","",IFERROR(INDEX(BD_PT!$C$2:$C$66,MATCH(B15,BD_PT!$B$2:$B$66,0))*IF(A15="",1,A15),""))</f>
        <v>55</v>
      </c>
      <c r="E15" s="24"/>
      <c r="F15" s="22" t="s">
        <v>169</v>
      </c>
    </row>
    <row r="16" ht="15.75" customHeight="1">
      <c r="A16" s="22">
        <v>1.0</v>
      </c>
      <c r="B16" s="22" t="s">
        <v>101</v>
      </c>
      <c r="C16" s="24" t="str">
        <f t="array" ref="C16">IF(B16="","",IFERROR(INDEX(BD_PT!$A$2:$A$66,MATCH(B16,BD_PT!$B$2:$B$66,0)),""))</f>
        <v>AC3</v>
      </c>
      <c r="D16" s="22">
        <v>135.0</v>
      </c>
      <c r="E16" s="24"/>
      <c r="F16" s="22" t="s">
        <v>141</v>
      </c>
    </row>
    <row r="17" ht="15.75" customHeight="1">
      <c r="A17" s="22">
        <v>1.0</v>
      </c>
      <c r="B17" s="22" t="s">
        <v>6</v>
      </c>
      <c r="C17" s="24" t="str">
        <f t="array" ref="C17">IF(B17="","",IFERROR(INDEX(BD_PT!$A$2:$A$66,MATCH(B17,BD_PT!$B$2:$B$66,0)),""))</f>
        <v>FRES-02</v>
      </c>
      <c r="D17" s="24">
        <f t="array" ref="D17">IF(B17="","",IFERROR(INDEX(BD_PT!$C$2:$C$66,MATCH(B17,BD_PT!$B$2:$B$66,0))*IF(A17="",1,A17),""))</f>
        <v>69</v>
      </c>
      <c r="E17" s="24"/>
      <c r="F17" s="24"/>
    </row>
    <row r="18" ht="15.75" customHeight="1">
      <c r="A18" s="22">
        <v>1.0</v>
      </c>
      <c r="B18" s="22" t="s">
        <v>58</v>
      </c>
      <c r="C18" s="24" t="str">
        <f t="array" ref="C18">IF(B18="","",IFERROR(INDEX(BD_PT!$A$2:$A$66,MATCH(B18,BD_PT!$B$2:$B$66,0)),""))</f>
        <v>POSRT-03</v>
      </c>
      <c r="D18" s="24">
        <f t="array" ref="D18">IF(B18="","",IFERROR(INDEX(BD_PT!$C$2:$C$66,MATCH(B18,BD_PT!$B$2:$B$66,0))*IF(A18="",1,A18),""))</f>
        <v>60</v>
      </c>
      <c r="E18" s="24"/>
      <c r="F18" s="24"/>
    </row>
    <row r="19" ht="15.75" customHeight="1">
      <c r="A19" s="22">
        <v>1.0</v>
      </c>
      <c r="B19" s="22" t="s">
        <v>66</v>
      </c>
      <c r="C19" s="24" t="str">
        <f t="array" ref="C19">IF(B19="","",IFERROR(INDEX(BD_PT!$A$2:$A$66,MATCH(B19,BD_PT!$B$2:$B$66,0)),""))</f>
        <v>POST-07</v>
      </c>
      <c r="D19" s="22">
        <v>0.0</v>
      </c>
      <c r="E19" s="24"/>
      <c r="F19" s="22" t="s">
        <v>181</v>
      </c>
    </row>
    <row r="20" ht="15.75" customHeight="1">
      <c r="A20" s="22">
        <v>1.0</v>
      </c>
      <c r="B20" s="22" t="s">
        <v>54</v>
      </c>
      <c r="C20" s="24" t="str">
        <f t="array" ref="C20">IF(B20="","",IFERROR(INDEX(BD_PT!$A$2:$A$66,MATCH(B20,BD_PT!$B$2:$B$66,0)),""))</f>
        <v>POST-01</v>
      </c>
      <c r="D20" s="24">
        <f t="array" ref="D20">IF(B20="","",IFERROR(INDEX(BD_PT!$C$2:$C$66,MATCH(B20,BD_PT!$B$2:$B$66,0))*IF(A20="",1,A20),""))</f>
        <v>55</v>
      </c>
      <c r="E20" s="24"/>
      <c r="F20" s="24"/>
    </row>
    <row r="21" ht="15.75" customHeight="1">
      <c r="A21" s="22">
        <v>1.0</v>
      </c>
      <c r="B21" s="22" t="s">
        <v>56</v>
      </c>
      <c r="C21" s="24" t="str">
        <f t="array" ref="C21">IF(B21="","",IFERROR(INDEX(BD_PT!$A$2:$A$66,MATCH(B21,BD_PT!$B$2:$B$66,0)),""))</f>
        <v>POST-02</v>
      </c>
      <c r="D21" s="24">
        <f t="array" ref="D21">IF(B21="","",IFERROR(INDEX(BD_PT!$C$2:$C$66,MATCH(B21,BD_PT!$B$2:$B$66,0))*IF(A21="",1,A21),""))</f>
        <v>55</v>
      </c>
      <c r="E21" s="24"/>
      <c r="F21" s="24"/>
    </row>
    <row r="22" ht="15.75" customHeight="1">
      <c r="A22" s="22">
        <v>2.0</v>
      </c>
      <c r="B22" s="22" t="s">
        <v>64</v>
      </c>
      <c r="C22" s="24" t="str">
        <f t="array" ref="C22">IF(B22="","",IFERROR(INDEX(BD_PT!$A$2:$A$66,MATCH(B22,BD_PT!$B$2:$B$66,0)),""))</f>
        <v>POST-06</v>
      </c>
      <c r="D22" s="24">
        <f t="array" ref="D22">IF(B22="","",IFERROR(INDEX(BD_PT!$C$2:$C$66,MATCH(B22,BD_PT!$B$2:$B$66,0))*IF(A22="",1,A22),""))</f>
        <v>30</v>
      </c>
      <c r="E22" s="24"/>
      <c r="F22" s="24"/>
    </row>
    <row r="23" ht="15.75" customHeight="1">
      <c r="A23" s="24"/>
      <c r="B23" s="22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192</v>
      </c>
      <c r="I1" s="27">
        <v>1000.0</v>
      </c>
    </row>
    <row r="2" ht="15.75" customHeight="1">
      <c r="A2" s="22">
        <v>1.0</v>
      </c>
      <c r="B2" s="23" t="s">
        <v>4</v>
      </c>
      <c r="C2" s="24" t="str">
        <f t="array" ref="C2">IF(B2="","",IFERROR(INDEX(BD_PT!$A$2:$A$66,MATCH(B2,BD_PT!$B$2:$B$66,0)),""))</f>
        <v>FRES-01</v>
      </c>
      <c r="D2" s="24">
        <f t="array" ref="D2">IF(B2="","",IFERROR(INDEX(BD_PT!$C$2:$C$66,MATCH(B2,BD_PT!$B$2:$B$66,0))*IF(A2="",1,A2),""))</f>
        <v>46</v>
      </c>
      <c r="E2" s="24"/>
      <c r="F2" s="24"/>
      <c r="H2" s="27" t="s">
        <v>151</v>
      </c>
      <c r="I2" s="27">
        <v>1073.0</v>
      </c>
    </row>
    <row r="3" ht="15.75" customHeight="1">
      <c r="A3" s="22">
        <v>1.0</v>
      </c>
      <c r="B3" s="22" t="s">
        <v>18</v>
      </c>
      <c r="C3" s="24" t="str">
        <f t="array" ref="C3">IF(B3="","",IFERROR(INDEX(BD_PT!$A$2:$A$66,MATCH(B3,BD_PT!$B$2:$B$66,0)),""))</f>
        <v>FRES-08</v>
      </c>
      <c r="D3" s="24">
        <f t="array" ref="D3">IF(B3="","",IFERROR(INDEX(BD_PT!$C$2:$C$66,MATCH(B3,BD_PT!$B$2:$B$66,0))*IF(A3="",1,A3),""))</f>
        <v>55</v>
      </c>
      <c r="E3" s="24"/>
      <c r="F3" s="24"/>
      <c r="H3" s="27" t="s">
        <v>147</v>
      </c>
      <c r="I3" s="27">
        <v>0.0</v>
      </c>
    </row>
    <row r="4" ht="15.75" customHeight="1">
      <c r="A4" s="22">
        <v>1.0</v>
      </c>
      <c r="B4" s="22" t="s">
        <v>32</v>
      </c>
      <c r="C4" s="24" t="str">
        <f t="array" ref="C4">IF(B4="","",IFERROR(INDEX(BD_PT!$A$2:$A$66,MATCH(B4,BD_PT!$B$2:$B$66,0)),""))</f>
        <v>FRES-15</v>
      </c>
      <c r="D4" s="24">
        <f t="array" ref="D4">IF(B4="","",IFERROR(INDEX(BD_PT!$C$2:$C$66,MATCH(B4,BD_PT!$B$2:$B$66,0))*IF(A4="",1,A4),""))</f>
        <v>66</v>
      </c>
      <c r="E4" s="24"/>
      <c r="F4" s="24"/>
    </row>
    <row r="5" ht="15.75" customHeight="1">
      <c r="A5" s="22">
        <v>2.0</v>
      </c>
      <c r="B5" s="22" t="s">
        <v>12</v>
      </c>
      <c r="C5" s="24" t="str">
        <f t="array" ref="C5">IF(B5="","",IFERROR(INDEX(BD_PT!$A$2:$A$66,MATCH(B5,BD_PT!$B$2:$B$66,0)),""))</f>
        <v>FRES-05</v>
      </c>
      <c r="D5" s="24">
        <f t="array" ref="D5">IF(B5="","",IFERROR(INDEX(BD_PT!$C$2:$C$66,MATCH(B5,BD_PT!$B$2:$B$66,0))*IF(A5="",1,A5),""))</f>
        <v>110</v>
      </c>
      <c r="E5" s="24"/>
      <c r="F5" s="24"/>
    </row>
    <row r="6" ht="15.75" customHeight="1">
      <c r="A6" s="22">
        <v>1.0</v>
      </c>
      <c r="B6" s="22" t="s">
        <v>54</v>
      </c>
      <c r="C6" s="24" t="str">
        <f t="array" ref="C6">IF(B6="","",IFERROR(INDEX(BD_PT!$A$2:$A$66,MATCH(B6,BD_PT!$B$2:$B$66,0)),""))</f>
        <v>POST-01</v>
      </c>
      <c r="D6" s="24">
        <f t="array" ref="D6">IF(B6="","",IFERROR(INDEX(BD_PT!$C$2:$C$66,MATCH(B6,BD_PT!$B$2:$B$66,0))*IF(A6="",1,A6),""))</f>
        <v>55</v>
      </c>
      <c r="E6" s="24"/>
      <c r="F6" s="24"/>
    </row>
    <row r="7" ht="15.75" customHeight="1">
      <c r="A7" s="22">
        <v>1.0</v>
      </c>
      <c r="B7" s="22" t="s">
        <v>26</v>
      </c>
      <c r="C7" s="24" t="str">
        <f t="array" ref="C7">IF(B7="","",IFERROR(INDEX(BD_PT!$A$2:$A$66,MATCH(B7,BD_PT!$B$2:$B$66,0)),""))</f>
        <v>FRES-12</v>
      </c>
      <c r="D7" s="24">
        <f t="array" ref="D7">IF(B7="","",IFERROR(INDEX(BD_PT!$C$2:$C$66,MATCH(B7,BD_PT!$B$2:$B$66,0))*IF(A7="",1,A7),""))</f>
        <v>153</v>
      </c>
      <c r="E7" s="24"/>
      <c r="F7" s="24"/>
    </row>
    <row r="8" ht="15.75" customHeight="1">
      <c r="A8" s="22">
        <v>2.0</v>
      </c>
      <c r="B8" s="22" t="s">
        <v>72</v>
      </c>
      <c r="C8" s="24" t="str">
        <f t="array" ref="C8">IF(B8="","",IFERROR(INDEX(BD_PT!$A$2:$A$66,MATCH(B8,BD_PT!$B$2:$B$66,0)),""))</f>
        <v>POST-10</v>
      </c>
      <c r="D8" s="24">
        <f t="array" ref="D8">IF(B8="","",IFERROR(INDEX(BD_PT!$C$2:$C$66,MATCH(B8,BD_PT!$B$2:$B$66,0))*IF(A8="",1,A8),""))</f>
        <v>40</v>
      </c>
      <c r="E8" s="24"/>
      <c r="F8" s="24"/>
    </row>
    <row r="9" ht="15.75" customHeight="1">
      <c r="A9" s="22">
        <v>1.0</v>
      </c>
      <c r="B9" s="22" t="s">
        <v>20</v>
      </c>
      <c r="C9" s="24" t="str">
        <f t="array" ref="C9">IF(B9="","",IFERROR(INDEX(BD_PT!$A$2:$A$66,MATCH(B9,BD_PT!$B$2:$B$66,0)),""))</f>
        <v>FRES-09</v>
      </c>
      <c r="D9" s="24">
        <f t="array" ref="D9">IF(B9="","",IFERROR(INDEX(BD_PT!$C$2:$C$66,MATCH(B9,BD_PT!$B$2:$B$66,0))*IF(A9="",1,A9),""))</f>
        <v>79</v>
      </c>
      <c r="E9" s="24"/>
      <c r="F9" s="24"/>
    </row>
    <row r="10" ht="15.75" customHeight="1">
      <c r="A10" s="22">
        <v>1.0</v>
      </c>
      <c r="B10" s="22" t="s">
        <v>44</v>
      </c>
      <c r="C10" s="24" t="str">
        <f t="array" ref="C10">IF(B10="","",IFERROR(INDEX(BD_PT!$A$2:$A$66,MATCH(B10,BD_PT!$B$2:$B$66,0)),""))</f>
        <v>GALL-01</v>
      </c>
      <c r="D10" s="24">
        <f t="array" ref="D10">IF(B10="","",IFERROR(INDEX(BD_PT!$C$2:$C$66,MATCH(B10,BD_PT!$B$2:$B$66,0))*IF(A10="",1,A10),""))</f>
        <v>39</v>
      </c>
      <c r="E10" s="24"/>
      <c r="F10" s="24"/>
    </row>
    <row r="11" ht="15.75" customHeight="1">
      <c r="A11" s="22">
        <v>1.0</v>
      </c>
      <c r="B11" s="22" t="s">
        <v>50</v>
      </c>
      <c r="C11" s="24" t="str">
        <f t="array" ref="C11">IF(B11="","",IFERROR(INDEX(BD_PT!$A$2:$A$66,MATCH(B11,BD_PT!$B$2:$B$66,0)),""))</f>
        <v>GALL-04</v>
      </c>
      <c r="D11" s="24">
        <f t="array" ref="D11">IF(B11="","",IFERROR(INDEX(BD_PT!$C$2:$C$66,MATCH(B11,BD_PT!$B$2:$B$66,0))*IF(A11="",1,A11),""))</f>
        <v>39</v>
      </c>
      <c r="E11" s="24"/>
      <c r="F11" s="24"/>
    </row>
    <row r="12" ht="15.75" customHeight="1">
      <c r="A12" s="22">
        <v>1.0</v>
      </c>
      <c r="B12" s="22" t="s">
        <v>4</v>
      </c>
      <c r="C12" s="24" t="str">
        <f t="array" ref="C12">IF(B12="","",IFERROR(INDEX(BD_PT!$A$2:$A$66,MATCH(B12,BD_PT!$B$2:$B$66,0)),""))</f>
        <v>FRES-01</v>
      </c>
      <c r="D12" s="24">
        <f t="array" ref="D12">IF(B12="","",IFERROR(INDEX(BD_PT!$C$2:$C$66,MATCH(B12,BD_PT!$B$2:$B$66,0))*IF(A12="",1,A12),""))</f>
        <v>46</v>
      </c>
      <c r="E12" s="24"/>
      <c r="F12" s="24"/>
    </row>
    <row r="13" ht="15.75" customHeight="1">
      <c r="A13" s="22">
        <v>1.0</v>
      </c>
      <c r="B13" s="22" t="s">
        <v>4</v>
      </c>
      <c r="C13" s="24" t="str">
        <f t="array" ref="C13">IF(B13="","",IFERROR(INDEX(BD_PT!$A$2:$A$66,MATCH(B13,BD_PT!$B$2:$B$66,0)),""))</f>
        <v>FRES-01</v>
      </c>
      <c r="D13" s="22">
        <v>46.0</v>
      </c>
      <c r="E13" s="22">
        <v>46.0</v>
      </c>
      <c r="F13" s="22" t="s">
        <v>201</v>
      </c>
    </row>
    <row r="14" ht="15.75" customHeight="1">
      <c r="A14" s="22">
        <v>1.0</v>
      </c>
      <c r="B14" s="22" t="s">
        <v>38</v>
      </c>
      <c r="C14" s="24" t="str">
        <f t="array" ref="C14">IF(B14="","",IFERROR(INDEX(BD_PT!$A$2:$A$66,MATCH(B14,BD_PT!$B$2:$B$66,0)),""))</f>
        <v>FRES-18</v>
      </c>
      <c r="D14" s="22">
        <v>125.0</v>
      </c>
      <c r="E14" s="22">
        <v>125.0</v>
      </c>
      <c r="F14" s="22" t="s">
        <v>201</v>
      </c>
    </row>
    <row r="15" ht="15.75" customHeight="1">
      <c r="A15" s="22">
        <v>1.0</v>
      </c>
      <c r="B15" s="22" t="s">
        <v>202</v>
      </c>
      <c r="C15" s="24" t="str">
        <f t="array" ref="C15">IF(B15="","",IFERROR(INDEX(BD_PT!$A$2:$A$66,MATCH(B15,BD_PT!$B$2:$B$66,0)),""))</f>
        <v/>
      </c>
      <c r="D15" s="22">
        <v>0.0</v>
      </c>
      <c r="E15" s="22">
        <v>15.0</v>
      </c>
      <c r="F15" s="22" t="s">
        <v>201</v>
      </c>
    </row>
    <row r="16" ht="15.75" customHeight="1">
      <c r="A16" s="22">
        <v>1.0</v>
      </c>
      <c r="B16" s="22" t="s">
        <v>12</v>
      </c>
      <c r="C16" s="24" t="str">
        <f t="array" ref="C16">IF(B16="","",IFERROR(INDEX(BD_PT!$A$2:$A$66,MATCH(B16,BD_PT!$B$2:$B$66,0)),""))</f>
        <v>FRES-05</v>
      </c>
      <c r="D16" s="24">
        <f t="array" ref="D16">IF(B16="","",IFERROR(INDEX(BD_PT!$C$2:$C$66,MATCH(B16,BD_PT!$B$2:$B$66,0))*IF(A16="",1,A16),""))</f>
        <v>55</v>
      </c>
      <c r="E16" s="24"/>
      <c r="F16" s="24"/>
    </row>
    <row r="17" ht="15.75" customHeight="1">
      <c r="A17" s="22">
        <v>1.0</v>
      </c>
      <c r="B17" s="22" t="s">
        <v>66</v>
      </c>
      <c r="C17" s="24" t="str">
        <f t="array" ref="C17">IF(B17="","",IFERROR(INDEX(BD_PT!$A$2:$A$66,MATCH(B17,BD_PT!$B$2:$B$66,0)),""))</f>
        <v>POST-07</v>
      </c>
      <c r="D17" s="22">
        <v>29.0</v>
      </c>
      <c r="E17" s="22">
        <v>44.0</v>
      </c>
      <c r="F17" s="22" t="s">
        <v>201</v>
      </c>
    </row>
    <row r="18" ht="15.75" customHeight="1">
      <c r="A18" s="22">
        <v>1.0</v>
      </c>
      <c r="B18" s="22" t="s">
        <v>101</v>
      </c>
      <c r="C18" s="24" t="str">
        <f t="array" ref="C18">IF(B18="","",IFERROR(INDEX(BD_PT!$A$2:$A$66,MATCH(B18,BD_PT!$B$2:$B$66,0)),""))</f>
        <v>AC3</v>
      </c>
      <c r="D18" s="22">
        <v>90.0</v>
      </c>
      <c r="E18" s="24"/>
      <c r="F18" s="22" t="s">
        <v>164</v>
      </c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38.88"/>
    <col customWidth="1" min="3" max="3" width="14.13"/>
    <col customWidth="1" min="7" max="7" width="8.0"/>
    <col customWidth="1" min="8" max="8" width="16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</row>
    <row r="2" ht="15.75" customHeight="1">
      <c r="A2" s="22">
        <v>1.0</v>
      </c>
      <c r="B2" s="23" t="s">
        <v>4</v>
      </c>
      <c r="C2" s="24" t="str">
        <f t="array" ref="C2">IF(B2="","",IFERROR(INDEX(BD_PT!$A$2:$A$66,MATCH(B2,BD_PT!$B$2:$B$66,0)),""))</f>
        <v>FRES-01</v>
      </c>
      <c r="D2" s="24">
        <f t="array" ref="D2">IF(B2="","",IFERROR(INDEX(BD_PT!$C$2:$C$66,MATCH(B2,BD_PT!$B$2:$B$66,0))*IF(A2="",1,A2),""))</f>
        <v>46</v>
      </c>
      <c r="E2" s="24"/>
      <c r="F2" s="24"/>
      <c r="H2" s="27" t="s">
        <v>140</v>
      </c>
      <c r="I2" s="27">
        <v>1000.0</v>
      </c>
    </row>
    <row r="3" ht="15.75" customHeight="1">
      <c r="A3" s="22">
        <v>2.0</v>
      </c>
      <c r="B3" s="22" t="s">
        <v>8</v>
      </c>
      <c r="C3" s="24" t="str">
        <f t="array" ref="C3">IF(B3="","",IFERROR(INDEX(BD_PT!$A$2:$A$66,MATCH(B3,BD_PT!$B$2:$B$66,0)),""))</f>
        <v>FRES-03</v>
      </c>
      <c r="D3" s="24">
        <f t="array" ref="D3">IF(B3="","",IFERROR(INDEX(BD_PT!$C$2:$C$66,MATCH(B3,BD_PT!$B$2:$B$66,0))*IF(A3="",1,A3),""))</f>
        <v>178</v>
      </c>
      <c r="E3" s="24"/>
      <c r="F3" s="24"/>
      <c r="H3" s="27" t="s">
        <v>151</v>
      </c>
      <c r="I3" s="28">
        <f>2440+4</f>
        <v>2444</v>
      </c>
    </row>
    <row r="4" ht="15.75" customHeight="1">
      <c r="A4" s="22">
        <v>1.0</v>
      </c>
      <c r="B4" s="22" t="s">
        <v>50</v>
      </c>
      <c r="C4" s="24" t="str">
        <f t="array" ref="C4">IF(B4="","",IFERROR(INDEX(BD_PT!$A$2:$A$66,MATCH(B4,BD_PT!$B$2:$B$66,0)),""))</f>
        <v>GALL-04</v>
      </c>
      <c r="D4" s="24">
        <f>39*0.9567</f>
        <v>37.3113</v>
      </c>
      <c r="E4" s="22">
        <v>39.0</v>
      </c>
      <c r="F4" s="22" t="s">
        <v>147</v>
      </c>
      <c r="H4" s="27" t="s">
        <v>169</v>
      </c>
      <c r="I4" s="28">
        <f>37.42+180.37+253.28</f>
        <v>471.07</v>
      </c>
    </row>
    <row r="5" ht="15.75" customHeight="1">
      <c r="A5" s="22">
        <v>1.0</v>
      </c>
      <c r="B5" s="22" t="s">
        <v>101</v>
      </c>
      <c r="C5" s="24" t="str">
        <f t="array" ref="C5">IF(B5="","",IFERROR(INDEX(BD_PT!$A$2:$A$66,MATCH(B5,BD_PT!$B$2:$B$66,0)),""))</f>
        <v>AC3</v>
      </c>
      <c r="D5" s="22">
        <v>36.0</v>
      </c>
      <c r="E5" s="24"/>
      <c r="F5" s="22" t="s">
        <v>164</v>
      </c>
    </row>
    <row r="6" ht="15.75" customHeight="1">
      <c r="A6" s="22">
        <v>1.0</v>
      </c>
      <c r="B6" s="22" t="s">
        <v>24</v>
      </c>
      <c r="C6" s="24" t="str">
        <f t="array" ref="C6">IF(B6="","",IFERROR(INDEX(BD_PT!$A$2:$A$66,MATCH(B6,BD_PT!$B$2:$B$66,0)),""))</f>
        <v>FRES-11</v>
      </c>
      <c r="D6" s="24">
        <f t="array" ref="D6">IF(B6="","",IFERROR(INDEX(BD_PT!$C$2:$C$66,MATCH(B6,BD_PT!$B$2:$B$66,0))*IF(A6="",1,A6),""))</f>
        <v>128</v>
      </c>
      <c r="E6" s="24"/>
      <c r="F6" s="24"/>
    </row>
    <row r="7" ht="15.75" customHeight="1">
      <c r="A7" s="22">
        <v>1.0</v>
      </c>
      <c r="B7" s="22" t="s">
        <v>68</v>
      </c>
      <c r="C7" s="24" t="str">
        <f t="array" ref="C7">IF(B7="","",IFERROR(INDEX(BD_PT!$A$2:$A$66,MATCH(B7,BD_PT!$B$2:$B$66,0)),""))</f>
        <v>POST-08</v>
      </c>
      <c r="D7" s="24">
        <f t="array" ref="D7">IF(B7="","",IFERROR(INDEX(BD_PT!$C$2:$C$66,MATCH(B7,BD_PT!$B$2:$B$66,0))*IF(A7="",1,A7),""))</f>
        <v>35</v>
      </c>
      <c r="E7" s="24"/>
      <c r="F7" s="24"/>
    </row>
    <row r="8" ht="15.75" customHeight="1">
      <c r="A8" s="22">
        <v>1.0</v>
      </c>
      <c r="B8" s="22" t="s">
        <v>54</v>
      </c>
      <c r="C8" s="24" t="str">
        <f t="array" ref="C8">IF(B8="","",IFERROR(INDEX(BD_PT!$A$2:$A$66,MATCH(B8,BD_PT!$B$2:$B$66,0)),""))</f>
        <v>POST-01</v>
      </c>
      <c r="D8" s="24">
        <f t="array" ref="D8">IF(B8="","",IFERROR(INDEX(BD_PT!$C$2:$C$66,MATCH(B8,BD_PT!$B$2:$B$66,0))*IF(A8="",1,A8),""))</f>
        <v>55</v>
      </c>
      <c r="E8" s="24"/>
      <c r="F8" s="24"/>
    </row>
    <row r="9" ht="15.75" customHeight="1">
      <c r="A9" s="22">
        <v>1.0</v>
      </c>
      <c r="B9" s="22" t="s">
        <v>68</v>
      </c>
      <c r="C9" s="24" t="str">
        <f t="array" ref="C9">IF(B9="","",IFERROR(INDEX(BD_PT!$A$2:$A$66,MATCH(B9,BD_PT!$B$2:$B$66,0)),""))</f>
        <v>POST-08</v>
      </c>
      <c r="D9" s="24">
        <f t="array" ref="D9">IF(B9="","",IFERROR(INDEX(BD_PT!$C$2:$C$66,MATCH(B9,BD_PT!$B$2:$B$66,0))*IF(A9="",1,A9),""))</f>
        <v>35</v>
      </c>
      <c r="E9" s="24"/>
      <c r="F9" s="24"/>
    </row>
    <row r="10" ht="15.75" customHeight="1">
      <c r="A10" s="22">
        <v>1.0</v>
      </c>
      <c r="B10" s="22" t="s">
        <v>8</v>
      </c>
      <c r="C10" s="24" t="str">
        <f t="array" ref="C10">IF(B10="","",IFERROR(INDEX(BD_PT!$A$2:$A$66,MATCH(B10,BD_PT!$B$2:$B$66,0)),""))</f>
        <v>FRES-03</v>
      </c>
      <c r="D10" s="24">
        <f t="array" ref="D10">IF(B10="","",IFERROR(INDEX(BD_PT!$C$2:$C$66,MATCH(B10,BD_PT!$B$2:$B$66,0))*IF(A10="",1,A10),""))</f>
        <v>89</v>
      </c>
      <c r="E10" s="24"/>
      <c r="F10" s="24"/>
    </row>
    <row r="11" ht="15.75" customHeight="1">
      <c r="A11" s="22">
        <v>2.0</v>
      </c>
      <c r="B11" s="22" t="s">
        <v>4</v>
      </c>
      <c r="C11" s="24" t="str">
        <f t="array" ref="C11">IF(B11="","",IFERROR(INDEX(BD_PT!$A$2:$A$66,MATCH(B11,BD_PT!$B$2:$B$66,0)),""))</f>
        <v>FRES-01</v>
      </c>
      <c r="D11" s="24">
        <f t="array" ref="D11">IF(B11="","",IFERROR(INDEX(BD_PT!$C$2:$C$66,MATCH(B11,BD_PT!$B$2:$B$66,0))*IF(A11="",1,A11),""))</f>
        <v>92</v>
      </c>
      <c r="E11" s="24"/>
      <c r="F11" s="24"/>
    </row>
    <row r="12" ht="15.75" customHeight="1">
      <c r="A12" s="22">
        <v>1.0</v>
      </c>
      <c r="B12" s="22" t="s">
        <v>101</v>
      </c>
      <c r="C12" s="24" t="str">
        <f t="array" ref="C12">IF(B12="","",IFERROR(INDEX(BD_PT!$A$2:$A$66,MATCH(B12,BD_PT!$B$2:$B$66,0)),""))</f>
        <v>AC3</v>
      </c>
      <c r="D12" s="22">
        <v>90.0</v>
      </c>
      <c r="E12" s="24"/>
      <c r="F12" s="22" t="s">
        <v>145</v>
      </c>
    </row>
    <row r="13" ht="15.75" customHeight="1">
      <c r="A13" s="22">
        <v>1.0</v>
      </c>
      <c r="B13" s="22" t="s">
        <v>203</v>
      </c>
      <c r="C13" s="24" t="str">
        <f t="array" ref="C13">IF(B13="","",IFERROR(INDEX(BD_PT!$A$2:$A$66,MATCH(B13,BD_PT!$B$2:$B$66,0)),""))</f>
        <v/>
      </c>
      <c r="D13" s="22">
        <v>70.0</v>
      </c>
      <c r="E13" s="24"/>
      <c r="F13" s="24"/>
    </row>
    <row r="14" ht="15.75" customHeight="1">
      <c r="A14" s="22">
        <v>1.0</v>
      </c>
      <c r="B14" s="22" t="s">
        <v>6</v>
      </c>
      <c r="C14" s="24" t="str">
        <f t="array" ref="C14">IF(B14="","",IFERROR(INDEX(BD_PT!$A$2:$A$66,MATCH(B14,BD_PT!$B$2:$B$66,0)),""))</f>
        <v>FRES-02</v>
      </c>
      <c r="D14" s="24">
        <f t="array" ref="D14">IF(B14="","",IFERROR(INDEX(BD_PT!$C$2:$C$66,MATCH(B14,BD_PT!$B$2:$B$66,0))*IF(A14="",1,A14),""))</f>
        <v>69</v>
      </c>
      <c r="E14" s="24"/>
      <c r="F14" s="24"/>
    </row>
    <row r="15" ht="15.75" customHeight="1">
      <c r="A15" s="22">
        <v>2.0</v>
      </c>
      <c r="B15" s="22" t="s">
        <v>4</v>
      </c>
      <c r="C15" s="24" t="str">
        <f t="array" ref="C15">IF(B15="","",IFERROR(INDEX(BD_PT!$A$2:$A$66,MATCH(B15,BD_PT!$B$2:$B$66,0)),""))</f>
        <v>FRES-01</v>
      </c>
      <c r="D15" s="24">
        <f t="array" ref="D15">IF(B15="","",IFERROR(INDEX(BD_PT!$C$2:$C$66,MATCH(B15,BD_PT!$B$2:$B$66,0))*IF(A15="",1,A15),""))</f>
        <v>92</v>
      </c>
      <c r="E15" s="24"/>
      <c r="F15" s="24"/>
    </row>
    <row r="16" ht="15.75" customHeight="1">
      <c r="A16" s="22">
        <v>1.0</v>
      </c>
      <c r="B16" s="22" t="s">
        <v>56</v>
      </c>
      <c r="C16" s="24" t="str">
        <f t="array" ref="C16">IF(B16="","",IFERROR(INDEX(BD_PT!$A$2:$A$66,MATCH(B16,BD_PT!$B$2:$B$66,0)),""))</f>
        <v>POST-02</v>
      </c>
      <c r="D16" s="24">
        <f t="array" ref="D16">IF(B16="","",IFERROR(INDEX(BD_PT!$C$2:$C$66,MATCH(B16,BD_PT!$B$2:$B$66,0))*IF(A16="",1,A16),""))</f>
        <v>55</v>
      </c>
      <c r="E16" s="24"/>
      <c r="F16" s="24"/>
    </row>
    <row r="17" ht="15.75" customHeight="1">
      <c r="A17" s="22">
        <v>1.0</v>
      </c>
      <c r="B17" s="22" t="s">
        <v>202</v>
      </c>
      <c r="C17" s="24" t="str">
        <f t="array" ref="C17">IF(B17="","",IFERROR(INDEX(BD_PT!$A$2:$A$66,MATCH(B17,BD_PT!$B$2:$B$66,0)),""))</f>
        <v/>
      </c>
      <c r="D17" s="22">
        <v>10.0</v>
      </c>
      <c r="E17" s="24"/>
      <c r="F17" s="24"/>
    </row>
    <row r="18" ht="15.75" customHeight="1">
      <c r="A18" s="22">
        <v>1.0</v>
      </c>
      <c r="B18" s="22" t="s">
        <v>76</v>
      </c>
      <c r="C18" s="24" t="str">
        <f t="array" ref="C18">IF(B18="","",IFERROR(INDEX(BD_PT!$A$2:$A$66,MATCH(B18,BD_PT!$B$2:$B$66,0)),""))</f>
        <v>EXTR-01</v>
      </c>
      <c r="D18" s="24">
        <f t="array" ref="D18">IF(B18="","",IFERROR(INDEX(BD_PT!$C$2:$C$66,MATCH(B18,BD_PT!$B$2:$B$66,0))*IF(A18="",1,A18),""))</f>
        <v>10</v>
      </c>
      <c r="E18" s="24"/>
      <c r="F18" s="22" t="s">
        <v>204</v>
      </c>
    </row>
    <row r="19" ht="15.75" customHeight="1">
      <c r="A19" s="22">
        <v>1.0</v>
      </c>
      <c r="B19" s="22" t="s">
        <v>48</v>
      </c>
      <c r="C19" s="24" t="str">
        <f t="array" ref="C19">IF(B19="","",IFERROR(INDEX(BD_PT!$A$2:$A$66,MATCH(B19,BD_PT!$B$2:$B$66,0)),""))</f>
        <v>GALL-03</v>
      </c>
      <c r="D19" s="24">
        <f t="array" ref="D19">IF(B19="","",IFERROR(INDEX(BD_PT!$C$2:$C$66,MATCH(B19,BD_PT!$B$2:$B$66,0))*IF(A19="",1,A19),""))</f>
        <v>39</v>
      </c>
      <c r="E19" s="24"/>
      <c r="F19" s="24"/>
    </row>
    <row r="20" ht="15.75" customHeight="1">
      <c r="A20" s="22">
        <v>1.0</v>
      </c>
      <c r="B20" s="22" t="s">
        <v>4</v>
      </c>
      <c r="C20" s="24" t="str">
        <f t="array" ref="C20">IF(B20="","",IFERROR(INDEX(BD_PT!$A$2:$A$66,MATCH(B20,BD_PT!$B$2:$B$66,0)),""))</f>
        <v>FRES-01</v>
      </c>
      <c r="D20" s="24">
        <f t="array" ref="D20">IF(B20="","",IFERROR(INDEX(BD_PT!$C$2:$C$66,MATCH(B20,BD_PT!$B$2:$B$66,0))*IF(A20="",1,A20),""))</f>
        <v>46</v>
      </c>
      <c r="E20" s="24"/>
      <c r="F20" s="24"/>
    </row>
    <row r="21" ht="15.75" customHeight="1">
      <c r="A21" s="22">
        <v>1.0</v>
      </c>
      <c r="B21" s="22" t="s">
        <v>8</v>
      </c>
      <c r="C21" s="24" t="str">
        <f t="array" ref="C21">IF(B21="","",IFERROR(INDEX(BD_PT!$A$2:$A$66,MATCH(B21,BD_PT!$B$2:$B$66,0)),""))</f>
        <v>FRES-03</v>
      </c>
      <c r="D21" s="24">
        <f t="array" ref="D21">IF(B21="","",IFERROR(INDEX(BD_PT!$C$2:$C$66,MATCH(B21,BD_PT!$B$2:$B$66,0))*IF(A21="",1,A21),""))</f>
        <v>89</v>
      </c>
      <c r="E21" s="24"/>
      <c r="F21" s="24"/>
    </row>
    <row r="22" ht="15.75" customHeight="1">
      <c r="A22" s="22">
        <v>1.0</v>
      </c>
      <c r="B22" s="22" t="s">
        <v>16</v>
      </c>
      <c r="C22" s="24" t="str">
        <f t="array" ref="C22">IF(B22="","",IFERROR(INDEX(BD_PT!$A$2:$A$66,MATCH(B22,BD_PT!$B$2:$B$66,0)),""))</f>
        <v>FRES-07</v>
      </c>
      <c r="D22" s="24">
        <f t="array" ref="D22">IF(B22="","",IFERROR(INDEX(BD_PT!$C$2:$C$66,MATCH(B22,BD_PT!$B$2:$B$66,0))*IF(A22="",1,A22),""))</f>
        <v>99</v>
      </c>
      <c r="E22" s="24"/>
      <c r="F22" s="24"/>
    </row>
    <row r="23" ht="15.75" customHeight="1">
      <c r="A23" s="22">
        <v>1.0</v>
      </c>
      <c r="B23" s="22" t="s">
        <v>4</v>
      </c>
      <c r="C23" s="24" t="str">
        <f t="array" ref="C23">IF(B23="","",IFERROR(INDEX(BD_PT!$A$2:$A$66,MATCH(B23,BD_PT!$B$2:$B$66,0)),""))</f>
        <v>FRES-01</v>
      </c>
      <c r="D23" s="24">
        <f t="array" ref="D23">IF(B23="","",IFERROR(INDEX(BD_PT!$C$2:$C$66,MATCH(B23,BD_PT!$B$2:$B$66,0))*IF(A23="",1,A23),""))</f>
        <v>46</v>
      </c>
      <c r="E23" s="24"/>
      <c r="F23" s="24"/>
    </row>
    <row r="24" ht="15.75" customHeight="1">
      <c r="A24" s="22">
        <v>1.0</v>
      </c>
      <c r="B24" s="22" t="s">
        <v>54</v>
      </c>
      <c r="C24" s="24" t="str">
        <f t="array" ref="C24">IF(B24="","",IFERROR(INDEX(BD_PT!$A$2:$A$66,MATCH(B24,BD_PT!$B$2:$B$66,0)),""))</f>
        <v>POST-01</v>
      </c>
      <c r="D24" s="24">
        <f t="array" ref="D24">IF(B24="","",IFERROR(INDEX(BD_PT!$C$2:$C$66,MATCH(B24,BD_PT!$B$2:$B$66,0))*IF(A24="",1,A24),""))</f>
        <v>55</v>
      </c>
      <c r="E24" s="24"/>
      <c r="F24" s="24"/>
    </row>
    <row r="25" ht="15.75" customHeight="1">
      <c r="A25" s="22">
        <v>1.0</v>
      </c>
      <c r="B25" s="22" t="s">
        <v>8</v>
      </c>
      <c r="C25" s="24" t="str">
        <f t="array" ref="C25">IF(B25="","",IFERROR(INDEX(BD_PT!$A$2:$A$66,MATCH(B25,BD_PT!$B$2:$B$66,0)),""))</f>
        <v>FRES-03</v>
      </c>
      <c r="D25" s="24">
        <f t="array" ref="D25">IF(B25="","",IFERROR(INDEX(BD_PT!$C$2:$C$66,MATCH(B25,BD_PT!$B$2:$B$66,0))*IF(A25="",1,A25),""))</f>
        <v>89</v>
      </c>
      <c r="E25" s="24"/>
      <c r="F25" s="24"/>
    </row>
    <row r="26" ht="15.75" customHeight="1">
      <c r="A26" s="22">
        <v>1.0</v>
      </c>
      <c r="B26" s="22" t="s">
        <v>6</v>
      </c>
      <c r="C26" s="24" t="str">
        <f t="array" ref="C26">IF(B26="","",IFERROR(INDEX(BD_PT!$A$2:$A$66,MATCH(B26,BD_PT!$B$2:$B$66,0)),""))</f>
        <v>FRES-02</v>
      </c>
      <c r="D26" s="24">
        <f t="array" ref="D26">IF(B26="","",IFERROR(INDEX(BD_PT!$C$2:$C$66,MATCH(B26,BD_PT!$B$2:$B$66,0))*IF(A26="",1,A26),""))</f>
        <v>69</v>
      </c>
      <c r="E26" s="24"/>
      <c r="F26" s="24"/>
    </row>
    <row r="27" ht="15.75" customHeight="1">
      <c r="A27" s="22">
        <v>1.0</v>
      </c>
      <c r="B27" s="22" t="s">
        <v>48</v>
      </c>
      <c r="C27" s="24" t="str">
        <f t="array" ref="C27">IF(B27="","",IFERROR(INDEX(BD_PT!$A$2:$A$66,MATCH(B27,BD_PT!$B$2:$B$66,0)),""))</f>
        <v>GALL-03</v>
      </c>
      <c r="D27" s="24">
        <f t="array" ref="D27">IF(B27="","",IFERROR(INDEX(BD_PT!$C$2:$C$66,MATCH(B27,BD_PT!$B$2:$B$66,0))*IF(A27="",1,A27),""))</f>
        <v>39</v>
      </c>
      <c r="E27" s="24"/>
      <c r="F27" s="24"/>
    </row>
    <row r="28" ht="15.75" customHeight="1">
      <c r="A28" s="22">
        <v>1.0</v>
      </c>
      <c r="B28" s="22" t="s">
        <v>44</v>
      </c>
      <c r="C28" s="24" t="str">
        <f t="array" ref="C28">IF(B28="","",IFERROR(INDEX(BD_PT!$A$2:$A$66,MATCH(B28,BD_PT!$B$2:$B$66,0)),""))</f>
        <v>GALL-01</v>
      </c>
      <c r="D28" s="24">
        <f t="array" ref="D28">IF(B28="","",IFERROR(INDEX(BD_PT!$C$2:$C$66,MATCH(B28,BD_PT!$B$2:$B$66,0))*IF(A28="",1,A28),""))</f>
        <v>39</v>
      </c>
      <c r="E28" s="24"/>
      <c r="F28" s="24"/>
    </row>
    <row r="29" ht="15.75" customHeight="1">
      <c r="A29" s="22">
        <v>1.0</v>
      </c>
      <c r="B29" s="22" t="s">
        <v>44</v>
      </c>
      <c r="C29" s="24" t="str">
        <f t="array" ref="C29">IF(B29="","",IFERROR(INDEX(BD_PT!$A$2:$A$66,MATCH(B29,BD_PT!$B$2:$B$66,0)),""))</f>
        <v>GALL-01</v>
      </c>
      <c r="D29" s="24">
        <f t="array" ref="D29">IF(B29="","",IFERROR(INDEX(BD_PT!$C$2:$C$66,MATCH(B29,BD_PT!$B$2:$B$66,0))*IF(A29="",1,A29),""))</f>
        <v>39</v>
      </c>
      <c r="E29" s="24"/>
      <c r="F29" s="24"/>
    </row>
    <row r="30" ht="15.75" customHeight="1">
      <c r="A30" s="22">
        <v>1.0</v>
      </c>
      <c r="B30" s="22" t="s">
        <v>4</v>
      </c>
      <c r="C30" s="24" t="str">
        <f t="array" ref="C30">IF(B30="","",IFERROR(INDEX(BD_PT!$A$2:$A$66,MATCH(B30,BD_PT!$B$2:$B$66,0)),""))</f>
        <v>FRES-01</v>
      </c>
      <c r="D30" s="24">
        <f t="array" ref="D30">IF(B30="","",IFERROR(INDEX(BD_PT!$C$2:$C$66,MATCH(B30,BD_PT!$B$2:$B$66,0))*IF(A30="",1,A30),""))</f>
        <v>46</v>
      </c>
      <c r="E30" s="24"/>
      <c r="F30" s="24"/>
    </row>
    <row r="31" ht="15.75" customHeight="1">
      <c r="A31" s="22">
        <v>1.0</v>
      </c>
      <c r="B31" s="22" t="s">
        <v>54</v>
      </c>
      <c r="C31" s="24" t="str">
        <f t="array" ref="C31">IF(B31="","",IFERROR(INDEX(BD_PT!$A$2:$A$66,MATCH(B31,BD_PT!$B$2:$B$66,0)),""))</f>
        <v>POST-01</v>
      </c>
      <c r="D31" s="24">
        <f t="array" ref="D31">IF(B31="","",IFERROR(INDEX(BD_PT!$C$2:$C$66,MATCH(B31,BD_PT!$B$2:$B$66,0))*IF(A31="",1,A31),""))</f>
        <v>55</v>
      </c>
      <c r="E31" s="24"/>
      <c r="F31" s="24"/>
    </row>
    <row r="32" ht="15.75" customHeight="1">
      <c r="A32" s="22">
        <v>1.0</v>
      </c>
      <c r="B32" s="22" t="s">
        <v>8</v>
      </c>
      <c r="C32" s="24" t="str">
        <f t="array" ref="C32">IF(B32="","",IFERROR(INDEX(BD_PT!$A$2:$A$66,MATCH(B32,BD_PT!$B$2:$B$66,0)),""))</f>
        <v>FRES-03</v>
      </c>
      <c r="D32" s="24">
        <f>89*0.9567</f>
        <v>85.1463</v>
      </c>
      <c r="E32" s="22">
        <v>89.0</v>
      </c>
      <c r="F32" s="24"/>
    </row>
    <row r="33" ht="15.75" customHeight="1">
      <c r="A33" s="22">
        <v>1.0</v>
      </c>
      <c r="B33" s="22" t="s">
        <v>16</v>
      </c>
      <c r="C33" s="24" t="str">
        <f t="array" ref="C33">IF(B33="","",IFERROR(INDEX(BD_PT!$A$2:$A$66,MATCH(B33,BD_PT!$B$2:$B$66,0)),""))</f>
        <v>FRES-07</v>
      </c>
      <c r="D33" s="24">
        <f>99*0.9567</f>
        <v>94.7133</v>
      </c>
      <c r="E33" s="22">
        <v>99.0</v>
      </c>
      <c r="F33" s="24"/>
    </row>
    <row r="34" ht="15.75" customHeight="1">
      <c r="A34" s="22">
        <v>1.0</v>
      </c>
      <c r="B34" s="22" t="s">
        <v>72</v>
      </c>
      <c r="C34" s="24" t="str">
        <f t="array" ref="C34">IF(B34="","",IFERROR(INDEX(BD_PT!$A$2:$A$66,MATCH(B34,BD_PT!$B$2:$B$66,0)),""))</f>
        <v>POST-10</v>
      </c>
      <c r="D34" s="24">
        <f t="array" ref="D34">IF(B34="","",IFERROR(INDEX(BD_PT!$C$2:$C$66,MATCH(B34,BD_PT!$B$2:$B$66,0))*IF(A34="",1,A34),""))</f>
        <v>20</v>
      </c>
      <c r="E34" s="24"/>
      <c r="F34" s="24"/>
    </row>
    <row r="35" ht="15.75" customHeight="1">
      <c r="A35" s="22">
        <v>1.0</v>
      </c>
      <c r="B35" s="22" t="s">
        <v>6</v>
      </c>
      <c r="C35" s="24" t="str">
        <f t="array" ref="C35">IF(B35="","",IFERROR(INDEX(BD_PT!$A$2:$A$66,MATCH(B35,BD_PT!$B$2:$B$66,0)),""))</f>
        <v>FRES-02</v>
      </c>
      <c r="D35" s="24">
        <f t="array" ref="D35">IF(B35="","",IFERROR(INDEX(BD_PT!$C$2:$C$66,MATCH(B35,BD_PT!$B$2:$B$66,0))*IF(A35="",1,A35),""))</f>
        <v>69</v>
      </c>
      <c r="E35" s="24"/>
      <c r="F35" s="24"/>
    </row>
    <row r="36" ht="15.75" customHeight="1">
      <c r="A36" s="22">
        <v>1.0</v>
      </c>
      <c r="B36" s="22" t="s">
        <v>101</v>
      </c>
      <c r="C36" s="24" t="str">
        <f t="array" ref="C36">IF(B36="","",IFERROR(INDEX(BD_PT!$A$2:$A$66,MATCH(B36,BD_PT!$B$2:$B$66,0)),""))</f>
        <v>AC3</v>
      </c>
      <c r="D36" s="22">
        <f>135*0.9567</f>
        <v>129.1545</v>
      </c>
      <c r="E36" s="24"/>
      <c r="F36" s="22" t="s">
        <v>152</v>
      </c>
    </row>
    <row r="37" ht="15.75" customHeight="1">
      <c r="A37" s="22">
        <v>1.0</v>
      </c>
      <c r="B37" s="22" t="s">
        <v>99</v>
      </c>
      <c r="C37" s="24" t="str">
        <f t="array" ref="C37">IF(B37="","",IFERROR(INDEX(BD_PT!$A$2:$A$66,MATCH(B37,BD_PT!$B$2:$B$66,0)),""))</f>
        <v>AC2T5</v>
      </c>
      <c r="D37" s="22">
        <f>129*0.9567</f>
        <v>123.4143</v>
      </c>
      <c r="E37" s="24"/>
      <c r="F37" s="22" t="s">
        <v>152</v>
      </c>
    </row>
    <row r="38" ht="15.75" customHeight="1">
      <c r="A38" s="22">
        <v>3.0</v>
      </c>
      <c r="B38" s="22" t="s">
        <v>94</v>
      </c>
      <c r="C38" s="24" t="str">
        <f t="array" ref="C38">IF(B38="","",IFERROR(INDEX(BD_PT!$A$2:$A$66,MATCH(B38,BD_PT!$B$2:$B$66,0)),""))</f>
        <v>TOPP-15MAZ</v>
      </c>
      <c r="D38" s="24">
        <f t="array" ref="D38">IF(B38="","",IFERROR(INDEX(BD_PT!$C$2:$C$66,MATCH(B38,BD_PT!$B$2:$B$66,0))*IF(A38="",1,A38),""))</f>
        <v>15</v>
      </c>
      <c r="E38" s="24"/>
      <c r="F38" s="24"/>
    </row>
    <row r="39" ht="15.75" customHeight="1">
      <c r="A39" s="22">
        <v>2.0</v>
      </c>
      <c r="B39" s="22" t="s">
        <v>6</v>
      </c>
      <c r="C39" s="24" t="str">
        <f t="array" ref="C39">IF(B39="","",IFERROR(INDEX(BD_PT!$A$2:$A$66,MATCH(B39,BD_PT!$B$2:$B$66,0)),""))</f>
        <v>FRES-02</v>
      </c>
      <c r="D39" s="24">
        <f t="array" ref="D39">IF(B39="","",IFERROR(INDEX(BD_PT!$C$2:$C$66,MATCH(B39,BD_PT!$B$2:$B$66,0))*IF(A39="",1,A39),""))</f>
        <v>138</v>
      </c>
      <c r="E39" s="24"/>
      <c r="F39" s="24"/>
    </row>
    <row r="40" ht="15.75" customHeight="1">
      <c r="A40" s="22">
        <v>1.0</v>
      </c>
      <c r="B40" s="22" t="s">
        <v>64</v>
      </c>
      <c r="C40" s="24" t="str">
        <f t="array" ref="C40">IF(B40="","",IFERROR(INDEX(BD_PT!$A$2:$A$66,MATCH(B40,BD_PT!$B$2:$B$66,0)),""))</f>
        <v>POST-06</v>
      </c>
      <c r="D40" s="24">
        <f t="array" ref="D40">IF(B40="","",IFERROR(INDEX(BD_PT!$C$2:$C$66,MATCH(B40,BD_PT!$B$2:$B$66,0))*IF(A40="",1,A40),""))</f>
        <v>15</v>
      </c>
      <c r="E40" s="24"/>
      <c r="F40" s="24"/>
    </row>
    <row r="41" ht="15.75" customHeight="1">
      <c r="A41" s="22">
        <v>1.0</v>
      </c>
      <c r="B41" s="22" t="s">
        <v>72</v>
      </c>
      <c r="C41" s="24" t="str">
        <f t="array" ref="C41">IF(B41="","",IFERROR(INDEX(BD_PT!$A$2:$A$66,MATCH(B41,BD_PT!$B$2:$B$66,0)),""))</f>
        <v>POST-10</v>
      </c>
      <c r="D41" s="24">
        <f t="array" ref="D41">IF(B41="","",IFERROR(INDEX(BD_PT!$C$2:$C$66,MATCH(B41,BD_PT!$B$2:$B$66,0))*IF(A41="",1,A41),""))</f>
        <v>20</v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</row>
    <row r="2" ht="15.75" customHeight="1">
      <c r="A2" s="22">
        <v>1.0</v>
      </c>
      <c r="B2" s="23" t="s">
        <v>101</v>
      </c>
      <c r="C2" s="24" t="str">
        <f t="array" ref="C2">IF(B2="","",IFERROR(INDEX(BD_PT!$A$2:$A$66,MATCH(B2,BD_PT!$B$2:$B$66,0)),""))</f>
        <v>AC3</v>
      </c>
      <c r="D2" s="22">
        <v>90.0</v>
      </c>
      <c r="E2" s="24"/>
      <c r="F2" s="22" t="s">
        <v>176</v>
      </c>
      <c r="H2" s="27" t="s">
        <v>192</v>
      </c>
      <c r="I2" s="27">
        <v>1000.0</v>
      </c>
    </row>
    <row r="3" ht="15.75" customHeight="1">
      <c r="A3" s="22">
        <v>1.0</v>
      </c>
      <c r="B3" s="22" t="s">
        <v>6</v>
      </c>
      <c r="C3" s="24" t="str">
        <f t="array" ref="C3">IF(B3="","",IFERROR(INDEX(BD_PT!$A$2:$A$66,MATCH(B3,BD_PT!$B$2:$B$66,0)),""))</f>
        <v>FRES-02</v>
      </c>
      <c r="D3" s="24">
        <f t="array" ref="D3">IF(B3="","",IFERROR(INDEX(BD_PT!$C$2:$C$66,MATCH(B3,BD_PT!$B$2:$B$66,0))*IF(A3="",1,A3),""))</f>
        <v>69</v>
      </c>
      <c r="E3" s="24"/>
      <c r="F3" s="24"/>
      <c r="H3" s="27" t="s">
        <v>151</v>
      </c>
      <c r="I3" s="27">
        <v>300.0</v>
      </c>
    </row>
    <row r="4" ht="15.75" customHeight="1">
      <c r="A4" s="22">
        <v>1.0</v>
      </c>
      <c r="B4" s="22" t="s">
        <v>4</v>
      </c>
      <c r="C4" s="24" t="str">
        <f t="array" ref="C4">IF(B4="","",IFERROR(INDEX(BD_PT!$A$2:$A$66,MATCH(B4,BD_PT!$B$2:$B$66,0)),""))</f>
        <v>FRES-01</v>
      </c>
      <c r="D4" s="24">
        <f t="array" ref="D4">IF(B4="","",IFERROR(INDEX(BD_PT!$C$2:$C$66,MATCH(B4,BD_PT!$B$2:$B$66,0))*IF(A4="",1,A4),""))</f>
        <v>46</v>
      </c>
      <c r="E4" s="24"/>
      <c r="F4" s="24"/>
      <c r="H4" s="27" t="s">
        <v>169</v>
      </c>
      <c r="I4" s="27">
        <v>118.97</v>
      </c>
    </row>
    <row r="5" ht="15.75" customHeight="1">
      <c r="A5" s="22">
        <v>1.0</v>
      </c>
      <c r="B5" s="22" t="s">
        <v>4</v>
      </c>
      <c r="C5" s="24" t="str">
        <f t="array" ref="C5">IF(B5="","",IFERROR(INDEX(BD_PT!$A$2:$A$66,MATCH(B5,BD_PT!$B$2:$B$66,0)),""))</f>
        <v>FRES-01</v>
      </c>
      <c r="D5" s="24">
        <f>46*0.9567</f>
        <v>44.0082</v>
      </c>
      <c r="E5" s="22">
        <v>46.0</v>
      </c>
      <c r="F5" s="22" t="s">
        <v>147</v>
      </c>
    </row>
    <row r="6" ht="15.75" customHeight="1">
      <c r="A6" s="22">
        <v>2.0</v>
      </c>
      <c r="B6" s="22" t="s">
        <v>50</v>
      </c>
      <c r="C6" s="24" t="str">
        <f t="array" ref="C6">IF(B6="","",IFERROR(INDEX(BD_PT!$A$2:$A$66,MATCH(B6,BD_PT!$B$2:$B$66,0)),""))</f>
        <v>GALL-04</v>
      </c>
      <c r="D6" s="24">
        <f>78*0.9567</f>
        <v>74.6226</v>
      </c>
      <c r="E6" s="22">
        <v>78.0</v>
      </c>
      <c r="F6" s="22" t="s">
        <v>147</v>
      </c>
    </row>
    <row r="7" ht="15.75" customHeight="1">
      <c r="A7" s="22">
        <v>1.0</v>
      </c>
      <c r="B7" s="22" t="s">
        <v>101</v>
      </c>
      <c r="C7" s="24" t="str">
        <f t="array" ref="C7">IF(B7="","",IFERROR(INDEX(BD_PT!$A$2:$A$66,MATCH(B7,BD_PT!$B$2:$B$66,0)),""))</f>
        <v>AC3</v>
      </c>
      <c r="D7" s="22">
        <v>105.0</v>
      </c>
      <c r="E7" s="24"/>
      <c r="F7" s="22" t="s">
        <v>150</v>
      </c>
    </row>
    <row r="8" ht="15.75" customHeight="1">
      <c r="A8" s="22">
        <v>1.0</v>
      </c>
      <c r="B8" s="22" t="s">
        <v>76</v>
      </c>
      <c r="C8" s="24" t="str">
        <f t="array" ref="C8">IF(B8="","",IFERROR(INDEX(BD_PT!$A$2:$A$66,MATCH(B8,BD_PT!$B$2:$B$66,0)),""))</f>
        <v>EXTR-01</v>
      </c>
      <c r="D8" s="24">
        <f t="array" ref="D8">IF(B8="","",IFERROR(INDEX(BD_PT!$C$2:$C$66,MATCH(B8,BD_PT!$B$2:$B$66,0))*IF(A8="",1,A8),""))</f>
        <v>10</v>
      </c>
      <c r="E8" s="24"/>
      <c r="F8" s="22" t="s">
        <v>196</v>
      </c>
    </row>
    <row r="9" ht="15.75" customHeight="1">
      <c r="A9" s="22">
        <v>1.0</v>
      </c>
      <c r="B9" s="22" t="s">
        <v>76</v>
      </c>
      <c r="C9" s="24" t="str">
        <f t="array" ref="C9">IF(B9="","",IFERROR(INDEX(BD_PT!$A$2:$A$66,MATCH(B9,BD_PT!$B$2:$B$66,0)),""))</f>
        <v>EXTR-01</v>
      </c>
      <c r="D9" s="24">
        <f t="array" ref="D9">IF(B9="","",IFERROR(INDEX(BD_PT!$C$2:$C$66,MATCH(B9,BD_PT!$B$2:$B$66,0))*IF(A9="",1,A9),""))</f>
        <v>10</v>
      </c>
      <c r="E9" s="24"/>
      <c r="F9" s="22" t="s">
        <v>155</v>
      </c>
    </row>
    <row r="10" ht="15.75" customHeight="1">
      <c r="A10" s="24"/>
      <c r="B10" s="24"/>
      <c r="C10" s="24" t="str">
        <f t="array" ref="C10">IF(B10="","",IFERROR(INDEX(BD_PT!$A$2:$A$66,MATCH(B10,BD_PT!$B$2:$B$66,0)),""))</f>
        <v/>
      </c>
      <c r="D10" s="24" t="str">
        <f t="array" ref="D10">IF(B10="","",IFERROR(INDEX(BD_PT!$C$2:$C$66,MATCH(B10,BD_PT!$B$2:$B$66,0))*IF(A10="",1,A10),""))</f>
        <v/>
      </c>
      <c r="E10" s="24"/>
      <c r="F10" s="24"/>
    </row>
    <row r="11" ht="15.75" customHeight="1">
      <c r="A11" s="24"/>
      <c r="B11" s="24"/>
      <c r="C11" s="24" t="str">
        <f t="array" ref="C11">IF(B11="","",IFERROR(INDEX(BD_PT!$A$2:$A$66,MATCH(B11,BD_PT!$B$2:$B$66,0)),""))</f>
        <v/>
      </c>
      <c r="D11" s="24" t="str">
        <f t="array" ref="D11">IF(B11="","",IFERROR(INDEX(BD_PT!$C$2:$C$66,MATCH(B11,BD_PT!$B$2:$B$66,0))*IF(A11="",1,A11),""))</f>
        <v/>
      </c>
      <c r="E11" s="24"/>
      <c r="F11" s="24"/>
    </row>
    <row r="12" ht="15.75" customHeight="1">
      <c r="A12" s="24"/>
      <c r="B12" s="24"/>
      <c r="C12" s="24" t="str">
        <f t="array" ref="C12">IF(B12="","",IFERROR(INDEX(BD_PT!$A$2:$A$66,MATCH(B12,BD_PT!$B$2:$B$66,0)),""))</f>
        <v/>
      </c>
      <c r="D12" s="24" t="str">
        <f t="array" ref="D12">IF(B12="","",IFERROR(INDEX(BD_PT!$C$2:$C$66,MATCH(B12,BD_PT!$B$2:$B$66,0))*IF(A12="",1,A12),""))</f>
        <v/>
      </c>
      <c r="E12" s="24"/>
      <c r="F12" s="24"/>
    </row>
    <row r="13" ht="15.75" customHeight="1">
      <c r="A13" s="24"/>
      <c r="B13" s="24"/>
      <c r="C13" s="24" t="str">
        <f t="array" ref="C13">IF(B13="","",IFERROR(INDEX(BD_PT!$A$2:$A$66,MATCH(B13,BD_PT!$B$2:$B$66,0)),""))</f>
        <v/>
      </c>
      <c r="D13" s="24" t="str">
        <f t="array" ref="D13">IF(B13="","",IFERROR(INDEX(BD_PT!$C$2:$C$66,MATCH(B13,BD_PT!$B$2:$B$66,0))*IF(A13="",1,A13),""))</f>
        <v/>
      </c>
      <c r="E13" s="24"/>
      <c r="F13" s="24"/>
    </row>
    <row r="14" ht="15.75" customHeight="1">
      <c r="A14" s="24"/>
      <c r="B14" s="24"/>
      <c r="C14" s="24" t="str">
        <f t="array" ref="C14">IF(B14="","",IFERROR(INDEX(BD_PT!$A$2:$A$66,MATCH(B14,BD_PT!$B$2:$B$66,0)),""))</f>
        <v/>
      </c>
      <c r="D14" s="24" t="str">
        <f t="array" ref="D14">IF(B14="","",IFERROR(INDEX(BD_PT!$C$2:$C$66,MATCH(B14,BD_PT!$B$2:$B$66,0))*IF(A14="",1,A14),""))</f>
        <v/>
      </c>
      <c r="E14" s="24"/>
      <c r="F14" s="24"/>
    </row>
    <row r="15" ht="15.75" customHeight="1">
      <c r="A15" s="24"/>
      <c r="B15" s="24"/>
      <c r="C15" s="24" t="str">
        <f t="array" ref="C15">IF(B15="","",IFERROR(INDEX(BD_PT!$A$2:$A$66,MATCH(B15,BD_PT!$B$2:$B$66,0)),""))</f>
        <v/>
      </c>
      <c r="D15" s="24" t="str">
        <f t="array" ref="D15">IF(B15="","",IFERROR(INDEX(BD_PT!$C$2:$C$66,MATCH(B15,BD_PT!$B$2:$B$66,0))*IF(A15="",1,A15),""))</f>
        <v/>
      </c>
      <c r="E15" s="24"/>
      <c r="F15" s="24"/>
    </row>
    <row r="16" ht="15.75" customHeight="1">
      <c r="A16" s="24"/>
      <c r="B16" s="24"/>
      <c r="C16" s="24" t="str">
        <f t="array" ref="C16">IF(B16="","",IFERROR(INDEX(BD_PT!$A$2:$A$66,MATCH(B16,BD_PT!$B$2:$B$66,0)),""))</f>
        <v/>
      </c>
      <c r="D16" s="24" t="str">
        <f t="array" ref="D16">IF(B16="","",IFERROR(INDEX(BD_PT!$C$2:$C$66,MATCH(B16,BD_PT!$B$2:$B$66,0))*IF(A16="",1,A16),""))</f>
        <v/>
      </c>
      <c r="E16" s="24"/>
      <c r="F16" s="24"/>
    </row>
    <row r="17" ht="15.75" customHeight="1">
      <c r="A17" s="24"/>
      <c r="B17" s="24"/>
      <c r="C17" s="24" t="str">
        <f t="array" ref="C17">IF(B17="","",IFERROR(INDEX(BD_PT!$A$2:$A$66,MATCH(B17,BD_PT!$B$2:$B$66,0)),""))</f>
        <v/>
      </c>
      <c r="D17" s="24" t="str">
        <f t="array" ref="D17">IF(B17="","",IFERROR(INDEX(BD_PT!$C$2:$C$66,MATCH(B17,BD_PT!$B$2:$B$66,0))*IF(A17="",1,A17),""))</f>
        <v/>
      </c>
      <c r="E17" s="24"/>
      <c r="F17" s="24"/>
    </row>
    <row r="18" ht="15.75" customHeight="1">
      <c r="A18" s="24"/>
      <c r="B18" s="24"/>
      <c r="C18" s="24" t="str">
        <f t="array" ref="C18">IF(B18="","",IFERROR(INDEX(BD_PT!$A$2:$A$66,MATCH(B18,BD_PT!$B$2:$B$66,0)),""))</f>
        <v/>
      </c>
      <c r="D18" s="24" t="str">
        <f t="array" ref="D18">IF(B18="","",IFERROR(INDEX(BD_PT!$C$2:$C$66,MATCH(B18,BD_PT!$B$2:$B$66,0))*IF(A18="",1,A18),""))</f>
        <v/>
      </c>
      <c r="E18" s="24"/>
      <c r="F18" s="24"/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140</v>
      </c>
      <c r="I1" s="27">
        <v>1000.0</v>
      </c>
    </row>
    <row r="2" ht="15.75" customHeight="1">
      <c r="A2" s="22">
        <v>2.0</v>
      </c>
      <c r="B2" s="23" t="s">
        <v>4</v>
      </c>
      <c r="C2" s="24" t="str">
        <f t="array" ref="C2">IF(B2="","",IFERROR(INDEX(BD_PT!$A$2:$A$66,MATCH(B2,BD_PT!$B$2:$B$66,0)),""))</f>
        <v>FRES-01</v>
      </c>
      <c r="D2" s="24">
        <f t="array" ref="D2">IF(B2="","",IFERROR(INDEX(BD_PT!$C$2:$C$66,MATCH(B2,BD_PT!$B$2:$B$66,0))*IF(A2="",1,A2),""))</f>
        <v>92</v>
      </c>
      <c r="E2" s="24"/>
      <c r="F2" s="24"/>
      <c r="H2" s="27" t="s">
        <v>151</v>
      </c>
      <c r="I2" s="27">
        <v>704.0</v>
      </c>
    </row>
    <row r="3" ht="15.75" customHeight="1">
      <c r="A3" s="22">
        <v>1.0</v>
      </c>
      <c r="B3" s="22" t="s">
        <v>6</v>
      </c>
      <c r="C3" s="24" t="str">
        <f t="array" ref="C3">IF(B3="","",IFERROR(INDEX(BD_PT!$A$2:$A$66,MATCH(B3,BD_PT!$B$2:$B$66,0)),""))</f>
        <v>FRES-02</v>
      </c>
      <c r="D3" s="24">
        <f t="array" ref="D3">IF(B3="","",IFERROR(INDEX(BD_PT!$C$2:$C$66,MATCH(B3,BD_PT!$B$2:$B$66,0))*IF(A3="",1,A3),""))</f>
        <v>69</v>
      </c>
      <c r="E3" s="24"/>
      <c r="F3" s="24"/>
      <c r="H3" s="27" t="s">
        <v>169</v>
      </c>
      <c r="I3" s="27">
        <v>110.33</v>
      </c>
    </row>
    <row r="4" ht="15.75" customHeight="1">
      <c r="A4" s="22">
        <v>1.0</v>
      </c>
      <c r="B4" s="22" t="s">
        <v>74</v>
      </c>
      <c r="C4" s="24" t="str">
        <f t="array" ref="C4">IF(B4="","",IFERROR(INDEX(BD_PT!$A$2:$A$66,MATCH(B4,BD_PT!$B$2:$B$66,0)),""))</f>
        <v>POST-11</v>
      </c>
      <c r="D4" s="24">
        <f t="array" ref="D4">IF(B4="","",IFERROR(INDEX(BD_PT!$C$2:$C$66,MATCH(B4,BD_PT!$B$2:$B$66,0))*IF(A4="",1,A4),""))</f>
        <v>11</v>
      </c>
      <c r="E4" s="24"/>
      <c r="F4" s="24"/>
    </row>
    <row r="5" ht="15.75" customHeight="1">
      <c r="A5" s="22">
        <v>1.0</v>
      </c>
      <c r="B5" s="22" t="s">
        <v>64</v>
      </c>
      <c r="C5" s="24" t="str">
        <f t="array" ref="C5">IF(B5="","",IFERROR(INDEX(BD_PT!$A$2:$A$66,MATCH(B5,BD_PT!$B$2:$B$66,0)),""))</f>
        <v>POST-06</v>
      </c>
      <c r="D5" s="24">
        <f t="array" ref="D5">IF(B5="","",IFERROR(INDEX(BD_PT!$C$2:$C$66,MATCH(B5,BD_PT!$B$2:$B$66,0))*IF(A5="",1,A5),""))</f>
        <v>15</v>
      </c>
      <c r="E5" s="24"/>
      <c r="F5" s="24"/>
    </row>
    <row r="6" ht="15.75" customHeight="1">
      <c r="A6" s="22">
        <v>1.0</v>
      </c>
      <c r="B6" s="22" t="s">
        <v>6</v>
      </c>
      <c r="C6" s="24" t="str">
        <f t="array" ref="C6">IF(B6="","",IFERROR(INDEX(BD_PT!$A$2:$A$66,MATCH(B6,BD_PT!$B$2:$B$66,0)),""))</f>
        <v>FRES-02</v>
      </c>
      <c r="D6" s="24">
        <f t="array" ref="D6">IF(B6="","",IFERROR(INDEX(BD_PT!$C$2:$C$66,MATCH(B6,BD_PT!$B$2:$B$66,0))*IF(A6="",1,A6),""))</f>
        <v>69</v>
      </c>
      <c r="E6" s="24"/>
      <c r="F6" s="24"/>
    </row>
    <row r="7" ht="15.75" customHeight="1">
      <c r="A7" s="22">
        <v>1.0</v>
      </c>
      <c r="B7" s="22" t="s">
        <v>64</v>
      </c>
      <c r="C7" s="24" t="str">
        <f t="array" ref="C7">IF(B7="","",IFERROR(INDEX(BD_PT!$A$2:$A$66,MATCH(B7,BD_PT!$B$2:$B$66,0)),""))</f>
        <v>POST-06</v>
      </c>
      <c r="D7" s="24">
        <f t="array" ref="D7">IF(B7="","",IFERROR(INDEX(BD_PT!$C$2:$C$66,MATCH(B7,BD_PT!$B$2:$B$66,0))*IF(A7="",1,A7),""))</f>
        <v>15</v>
      </c>
      <c r="E7" s="24"/>
      <c r="F7" s="24"/>
    </row>
    <row r="8" ht="15.75" customHeight="1">
      <c r="A8" s="22">
        <v>1.0</v>
      </c>
      <c r="B8" s="22" t="s">
        <v>4</v>
      </c>
      <c r="C8" s="24" t="str">
        <f t="array" ref="C8">IF(B8="","",IFERROR(INDEX(BD_PT!$A$2:$A$66,MATCH(B8,BD_PT!$B$2:$B$66,0)),""))</f>
        <v>FRES-01</v>
      </c>
      <c r="D8" s="24">
        <f t="array" ref="D8">IF(B8="","",IFERROR(INDEX(BD_PT!$C$2:$C$66,MATCH(B8,BD_PT!$B$2:$B$66,0))*IF(A8="",1,A8),""))</f>
        <v>46</v>
      </c>
      <c r="E8" s="24"/>
      <c r="F8" s="24"/>
    </row>
    <row r="9" ht="15.75" customHeight="1">
      <c r="A9" s="22">
        <v>1.0</v>
      </c>
      <c r="B9" s="22" t="s">
        <v>4</v>
      </c>
      <c r="C9" s="24" t="str">
        <f t="array" ref="C9">IF(B9="","",IFERROR(INDEX(BD_PT!$A$2:$A$66,MATCH(B9,BD_PT!$B$2:$B$66,0)),""))</f>
        <v>FRES-01</v>
      </c>
      <c r="D9" s="24">
        <f>46*0.9567 </f>
        <v>44.0082</v>
      </c>
      <c r="E9" s="24"/>
      <c r="F9" s="22" t="s">
        <v>147</v>
      </c>
    </row>
    <row r="10" ht="15.75" customHeight="1">
      <c r="A10" s="22">
        <v>1.0</v>
      </c>
      <c r="B10" s="22" t="s">
        <v>6</v>
      </c>
      <c r="C10" s="24" t="str">
        <f t="array" ref="C10">IF(B10="","",IFERROR(INDEX(BD_PT!$A$2:$A$66,MATCH(B10,BD_PT!$B$2:$B$66,0)),""))</f>
        <v>FRES-02</v>
      </c>
      <c r="D10" s="24">
        <f>69*0.9567 </f>
        <v>66.0123</v>
      </c>
      <c r="E10" s="24"/>
      <c r="F10" s="22" t="s">
        <v>147</v>
      </c>
    </row>
    <row r="11" ht="15.75" customHeight="1">
      <c r="A11" s="22">
        <v>1.0</v>
      </c>
      <c r="B11" s="22" t="s">
        <v>76</v>
      </c>
      <c r="C11" s="24" t="str">
        <f t="array" ref="C11">IF(B11="","",IFERROR(INDEX(BD_PT!$A$2:$A$66,MATCH(B11,BD_PT!$B$2:$B$66,0)),""))</f>
        <v>EXTR-01</v>
      </c>
      <c r="D11" s="24">
        <f t="array" ref="D11">IF(B11="","",IFERROR(INDEX(BD_PT!$C$2:$C$66,MATCH(B11,BD_PT!$B$2:$B$66,0))*IF(A11="",1,A11),""))</f>
        <v>10</v>
      </c>
      <c r="E11" s="24"/>
      <c r="F11" s="24"/>
    </row>
    <row r="12" ht="15.75" customHeight="1">
      <c r="A12" s="22">
        <v>1.0</v>
      </c>
      <c r="B12" s="22" t="s">
        <v>4</v>
      </c>
      <c r="C12" s="24" t="str">
        <f t="array" ref="C12">IF(B12="","",IFERROR(INDEX(BD_PT!$A$2:$A$66,MATCH(B12,BD_PT!$B$2:$B$66,0)),""))</f>
        <v>FRES-01</v>
      </c>
      <c r="D12" s="24">
        <f t="array" ref="D12">IF(B12="","",IFERROR(INDEX(BD_PT!$C$2:$C$66,MATCH(B12,BD_PT!$B$2:$B$66,0))*IF(A12="",1,A12),""))</f>
        <v>46</v>
      </c>
      <c r="E12" s="24"/>
      <c r="F12" s="24"/>
    </row>
    <row r="13" ht="15.75" customHeight="1">
      <c r="A13" s="22">
        <v>1.0</v>
      </c>
      <c r="B13" s="22" t="s">
        <v>6</v>
      </c>
      <c r="C13" s="24" t="str">
        <f t="array" ref="C13">IF(B13="","",IFERROR(INDEX(BD_PT!$A$2:$A$66,MATCH(B13,BD_PT!$B$2:$B$66,0)),""))</f>
        <v>FRES-02</v>
      </c>
      <c r="D13" s="24">
        <f t="array" ref="D13">IF(B13="","",IFERROR(INDEX(BD_PT!$C$2:$C$66,MATCH(B13,BD_PT!$B$2:$B$66,0))*IF(A13="",1,A13),""))</f>
        <v>69</v>
      </c>
      <c r="E13" s="24"/>
      <c r="F13" s="24"/>
    </row>
    <row r="14" ht="15.75" customHeight="1">
      <c r="A14" s="22">
        <v>1.0</v>
      </c>
      <c r="B14" s="22" t="s">
        <v>48</v>
      </c>
      <c r="C14" s="24" t="str">
        <f t="array" ref="C14">IF(B14="","",IFERROR(INDEX(BD_PT!$A$2:$A$66,MATCH(B14,BD_PT!$B$2:$B$66,0)),""))</f>
        <v>GALL-03</v>
      </c>
      <c r="D14" s="24">
        <f t="array" ref="D14">IF(B14="","",IFERROR(INDEX(BD_PT!$C$2:$C$66,MATCH(B14,BD_PT!$B$2:$B$66,0))*IF(A14="",1,A14),""))</f>
        <v>39</v>
      </c>
      <c r="E14" s="24"/>
      <c r="F14" s="24"/>
    </row>
    <row r="15" ht="15.75" customHeight="1">
      <c r="A15" s="22">
        <v>1.0</v>
      </c>
      <c r="B15" s="22" t="s">
        <v>6</v>
      </c>
      <c r="C15" s="24" t="str">
        <f t="array" ref="C15">IF(B15="","",IFERROR(INDEX(BD_PT!$A$2:$A$66,MATCH(B15,BD_PT!$B$2:$B$66,0)),""))</f>
        <v>FRES-02</v>
      </c>
      <c r="D15" s="24">
        <f t="array" ref="D15">IF(B15="","",IFERROR(INDEX(BD_PT!$C$2:$C$66,MATCH(B15,BD_PT!$B$2:$B$66,0))*IF(A15="",1,A15),""))</f>
        <v>69</v>
      </c>
      <c r="E15" s="24"/>
      <c r="F15" s="24"/>
    </row>
    <row r="16" ht="15.75" customHeight="1">
      <c r="A16" s="22">
        <v>1.0</v>
      </c>
      <c r="B16" s="22" t="s">
        <v>99</v>
      </c>
      <c r="C16" s="24" t="str">
        <f t="array" ref="C16">IF(B16="","",IFERROR(INDEX(BD_PT!$A$2:$A$66,MATCH(B16,BD_PT!$B$2:$B$66,0)),""))</f>
        <v>AC2T5</v>
      </c>
      <c r="D16" s="22">
        <v>155.0</v>
      </c>
      <c r="E16" s="24"/>
      <c r="F16" s="22" t="s">
        <v>141</v>
      </c>
    </row>
    <row r="17" ht="15.75" customHeight="1">
      <c r="A17" s="22">
        <v>1.0</v>
      </c>
      <c r="B17" s="22" t="s">
        <v>101</v>
      </c>
      <c r="C17" s="24" t="str">
        <f t="array" ref="C17">IF(B17="","",IFERROR(INDEX(BD_PT!$A$2:$A$66,MATCH(B17,BD_PT!$B$2:$B$66,0)),""))</f>
        <v>AC3</v>
      </c>
      <c r="D17" s="22">
        <v>0.0</v>
      </c>
      <c r="E17" s="24"/>
      <c r="F17" s="22" t="s">
        <v>205</v>
      </c>
    </row>
    <row r="18" ht="15.75" customHeight="1">
      <c r="A18" s="24"/>
      <c r="B18" s="24"/>
      <c r="C18" s="24" t="str">
        <f t="array" ref="C18">IF(B18="","",IFERROR(INDEX(BD_PT!$A$2:$A$66,MATCH(B18,BD_PT!$B$2:$B$66,0)),""))</f>
        <v/>
      </c>
      <c r="D18" s="24" t="str">
        <f t="array" ref="D18">IF(B18="","",IFERROR(INDEX(BD_PT!$C$2:$C$66,MATCH(B18,BD_PT!$B$2:$B$66,0))*IF(A18="",1,A18),""))</f>
        <v/>
      </c>
      <c r="E18" s="24"/>
      <c r="F18" s="24"/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  <col customWidth="1" min="8" max="8" width="15.25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140</v>
      </c>
      <c r="I1" s="27">
        <v>1000.0</v>
      </c>
    </row>
    <row r="2" ht="15.75" customHeight="1">
      <c r="A2" s="22">
        <v>1.0</v>
      </c>
      <c r="B2" s="23" t="s">
        <v>131</v>
      </c>
      <c r="C2" s="24" t="str">
        <f t="array" ref="C2">IF(B2="","",IFERROR(INDEX(BD_PT!$A$2:$A$66,MATCH(B2,BD_PT!$B$2:$B$66,0)),""))</f>
        <v>PT2.5</v>
      </c>
      <c r="D2" s="22">
        <v>190.0</v>
      </c>
      <c r="E2" s="24"/>
      <c r="F2" s="22" t="s">
        <v>148</v>
      </c>
      <c r="H2" s="27" t="s">
        <v>151</v>
      </c>
      <c r="I2" s="27">
        <v>462.0</v>
      </c>
    </row>
    <row r="3" ht="15.75" customHeight="1">
      <c r="A3" s="22">
        <v>1.0</v>
      </c>
      <c r="B3" s="22" t="s">
        <v>64</v>
      </c>
      <c r="C3" s="24" t="str">
        <f t="array" ref="C3">IF(B3="","",IFERROR(INDEX(BD_PT!$A$2:$A$66,MATCH(B3,BD_PT!$B$2:$B$66,0)),""))</f>
        <v>POST-06</v>
      </c>
      <c r="D3" s="24">
        <f t="array" ref="D3">IF(B3="","",IFERROR(INDEX(BD_PT!$C$2:$C$66,MATCH(B3,BD_PT!$B$2:$B$66,0))*IF(A3="",1,A3),""))</f>
        <v>15</v>
      </c>
      <c r="E3" s="24"/>
      <c r="F3" s="24"/>
      <c r="H3" s="27" t="s">
        <v>169</v>
      </c>
      <c r="I3" s="27">
        <v>0.0</v>
      </c>
    </row>
    <row r="4" ht="15.75" customHeight="1">
      <c r="A4" s="22">
        <v>1.0</v>
      </c>
      <c r="B4" s="22" t="s">
        <v>8</v>
      </c>
      <c r="C4" s="24" t="str">
        <f t="array" ref="C4">IF(B4="","",IFERROR(INDEX(BD_PT!$A$2:$A$66,MATCH(B4,BD_PT!$B$2:$B$66,0)),""))</f>
        <v>FRES-03</v>
      </c>
      <c r="D4" s="24">
        <f t="array" ref="D4">IF(B4="","",IFERROR(INDEX(BD_PT!$C$2:$C$66,MATCH(B4,BD_PT!$B$2:$B$66,0))*IF(A4="",1,A4),""))</f>
        <v>89</v>
      </c>
      <c r="E4" s="24"/>
      <c r="F4" s="24"/>
    </row>
    <row r="5" ht="15.75" customHeight="1">
      <c r="A5" s="22">
        <v>1.0</v>
      </c>
      <c r="B5" s="22" t="s">
        <v>76</v>
      </c>
      <c r="C5" s="24" t="str">
        <f t="array" ref="C5">IF(B5="","",IFERROR(INDEX(BD_PT!$A$2:$A$66,MATCH(B5,BD_PT!$B$2:$B$66,0)),""))</f>
        <v>EXTR-01</v>
      </c>
      <c r="D5" s="24">
        <f t="array" ref="D5">IF(B5="","",IFERROR(INDEX(BD_PT!$C$2:$C$66,MATCH(B5,BD_PT!$B$2:$B$66,0))*IF(A5="",1,A5),""))</f>
        <v>10</v>
      </c>
      <c r="E5" s="24"/>
      <c r="F5" s="24"/>
    </row>
    <row r="6" ht="15.75" customHeight="1">
      <c r="A6" s="22">
        <v>1.0</v>
      </c>
      <c r="B6" s="22" t="s">
        <v>54</v>
      </c>
      <c r="C6" s="24" t="str">
        <f t="array" ref="C6">IF(B6="","",IFERROR(INDEX(BD_PT!$A$2:$A$66,MATCH(B6,BD_PT!$B$2:$B$66,0)),""))</f>
        <v>POST-01</v>
      </c>
      <c r="D6" s="24">
        <f t="array" ref="D6">IF(B6="","",IFERROR(INDEX(BD_PT!$C$2:$C$66,MATCH(B6,BD_PT!$B$2:$B$66,0))*IF(A6="",1,A6),""))</f>
        <v>55</v>
      </c>
      <c r="E6" s="24"/>
      <c r="F6" s="24"/>
    </row>
    <row r="7" ht="15.75" customHeight="1">
      <c r="A7" s="22">
        <v>1.0</v>
      </c>
      <c r="B7" s="22" t="s">
        <v>76</v>
      </c>
      <c r="C7" s="24" t="str">
        <f t="array" ref="C7">IF(B7="","",IFERROR(INDEX(BD_PT!$A$2:$A$66,MATCH(B7,BD_PT!$B$2:$B$66,0)),""))</f>
        <v>EXTR-01</v>
      </c>
      <c r="D7" s="24">
        <f t="array" ref="D7">IF(B7="","",IFERROR(INDEX(BD_PT!$C$2:$C$66,MATCH(B7,BD_PT!$B$2:$B$66,0))*IF(A7="",1,A7),""))</f>
        <v>10</v>
      </c>
      <c r="E7" s="24"/>
      <c r="F7" s="24"/>
    </row>
    <row r="8" ht="15.75" customHeight="1">
      <c r="A8" s="22">
        <v>1.0</v>
      </c>
      <c r="B8" s="22" t="s">
        <v>26</v>
      </c>
      <c r="C8" s="24" t="str">
        <f t="array" ref="C8">IF(B8="","",IFERROR(INDEX(BD_PT!$A$2:$A$66,MATCH(B8,BD_PT!$B$2:$B$66,0)),""))</f>
        <v>FRES-12</v>
      </c>
      <c r="D8" s="24">
        <f t="array" ref="D8">IF(B8="","",IFERROR(INDEX(BD_PT!$C$2:$C$66,MATCH(B8,BD_PT!$B$2:$B$66,0))*IF(A8="",1,A8),""))</f>
        <v>153</v>
      </c>
      <c r="E8" s="24"/>
      <c r="F8" s="24"/>
    </row>
    <row r="9" ht="15.75" customHeight="1">
      <c r="A9" s="24"/>
      <c r="B9" s="24"/>
      <c r="C9" s="24" t="str">
        <f t="array" ref="C9">IF(B9="","",IFERROR(INDEX(BD_PT!$A$2:$A$66,MATCH(B9,BD_PT!$B$2:$B$66,0)),""))</f>
        <v/>
      </c>
      <c r="D9" s="24" t="str">
        <f t="array" ref="D9">IF(B9="","",IFERROR(INDEX(BD_PT!$C$2:$C$66,MATCH(B9,BD_PT!$B$2:$B$66,0))*IF(A9="",1,A9),""))</f>
        <v/>
      </c>
      <c r="E9" s="24"/>
      <c r="F9" s="24"/>
    </row>
    <row r="10" ht="15.75" customHeight="1">
      <c r="A10" s="24"/>
      <c r="B10" s="24"/>
      <c r="C10" s="24" t="str">
        <f t="array" ref="C10">IF(B10="","",IFERROR(INDEX(BD_PT!$A$2:$A$66,MATCH(B10,BD_PT!$B$2:$B$66,0)),""))</f>
        <v/>
      </c>
      <c r="D10" s="24" t="str">
        <f t="array" ref="D10">IF(B10="","",IFERROR(INDEX(BD_PT!$C$2:$C$66,MATCH(B10,BD_PT!$B$2:$B$66,0))*IF(A10="",1,A10),""))</f>
        <v/>
      </c>
      <c r="E10" s="24"/>
      <c r="F10" s="24"/>
    </row>
    <row r="11" ht="15.75" customHeight="1">
      <c r="A11" s="24"/>
      <c r="B11" s="24"/>
      <c r="C11" s="24" t="str">
        <f t="array" ref="C11">IF(B11="","",IFERROR(INDEX(BD_PT!$A$2:$A$66,MATCH(B11,BD_PT!$B$2:$B$66,0)),""))</f>
        <v/>
      </c>
      <c r="D11" s="24" t="str">
        <f t="array" ref="D11">IF(B11="","",IFERROR(INDEX(BD_PT!$C$2:$C$66,MATCH(B11,BD_PT!$B$2:$B$66,0))*IF(A11="",1,A11),""))</f>
        <v/>
      </c>
      <c r="E11" s="24"/>
      <c r="F11" s="24"/>
    </row>
    <row r="12" ht="15.75" customHeight="1">
      <c r="A12" s="24"/>
      <c r="B12" s="24"/>
      <c r="C12" s="24" t="str">
        <f t="array" ref="C12">IF(B12="","",IFERROR(INDEX(BD_PT!$A$2:$A$66,MATCH(B12,BD_PT!$B$2:$B$66,0)),""))</f>
        <v/>
      </c>
      <c r="D12" s="24" t="str">
        <f t="array" ref="D12">IF(B12="","",IFERROR(INDEX(BD_PT!$C$2:$C$66,MATCH(B12,BD_PT!$B$2:$B$66,0))*IF(A12="",1,A12),""))</f>
        <v/>
      </c>
      <c r="E12" s="24"/>
      <c r="F12" s="24"/>
    </row>
    <row r="13" ht="15.75" customHeight="1">
      <c r="A13" s="24"/>
      <c r="B13" s="24"/>
      <c r="C13" s="24" t="str">
        <f t="array" ref="C13">IF(B13="","",IFERROR(INDEX(BD_PT!$A$2:$A$66,MATCH(B13,BD_PT!$B$2:$B$66,0)),""))</f>
        <v/>
      </c>
      <c r="D13" s="24" t="str">
        <f t="array" ref="D13">IF(B13="","",IFERROR(INDEX(BD_PT!$C$2:$C$66,MATCH(B13,BD_PT!$B$2:$B$66,0))*IF(A13="",1,A13),""))</f>
        <v/>
      </c>
      <c r="E13" s="24"/>
      <c r="F13" s="24"/>
    </row>
    <row r="14" ht="15.75" customHeight="1">
      <c r="A14" s="24"/>
      <c r="B14" s="24"/>
      <c r="C14" s="24" t="str">
        <f t="array" ref="C14">IF(B14="","",IFERROR(INDEX(BD_PT!$A$2:$A$66,MATCH(B14,BD_PT!$B$2:$B$66,0)),""))</f>
        <v/>
      </c>
      <c r="D14" s="24" t="str">
        <f t="array" ref="D14">IF(B14="","",IFERROR(INDEX(BD_PT!$C$2:$C$66,MATCH(B14,BD_PT!$B$2:$B$66,0))*IF(A14="",1,A14),""))</f>
        <v/>
      </c>
      <c r="E14" s="24"/>
      <c r="F14" s="24"/>
    </row>
    <row r="15" ht="15.75" customHeight="1">
      <c r="A15" s="24"/>
      <c r="B15" s="24"/>
      <c r="C15" s="24" t="str">
        <f t="array" ref="C15">IF(B15="","",IFERROR(INDEX(BD_PT!$A$2:$A$66,MATCH(B15,BD_PT!$B$2:$B$66,0)),""))</f>
        <v/>
      </c>
      <c r="D15" s="24" t="str">
        <f t="array" ref="D15">IF(B15="","",IFERROR(INDEX(BD_PT!$C$2:$C$66,MATCH(B15,BD_PT!$B$2:$B$66,0))*IF(A15="",1,A15),""))</f>
        <v/>
      </c>
      <c r="E15" s="24"/>
      <c r="F15" s="24"/>
    </row>
    <row r="16" ht="15.75" customHeight="1">
      <c r="A16" s="24"/>
      <c r="B16" s="24"/>
      <c r="C16" s="24" t="str">
        <f t="array" ref="C16">IF(B16="","",IFERROR(INDEX(BD_PT!$A$2:$A$66,MATCH(B16,BD_PT!$B$2:$B$66,0)),""))</f>
        <v/>
      </c>
      <c r="D16" s="24" t="str">
        <f t="array" ref="D16">IF(B16="","",IFERROR(INDEX(BD_PT!$C$2:$C$66,MATCH(B16,BD_PT!$B$2:$B$66,0))*IF(A16="",1,A16),""))</f>
        <v/>
      </c>
      <c r="E16" s="24"/>
      <c r="F16" s="24"/>
    </row>
    <row r="17" ht="15.75" customHeight="1">
      <c r="A17" s="24"/>
      <c r="B17" s="24"/>
      <c r="C17" s="24" t="str">
        <f t="array" ref="C17">IF(B17="","",IFERROR(INDEX(BD_PT!$A$2:$A$66,MATCH(B17,BD_PT!$B$2:$B$66,0)),""))</f>
        <v/>
      </c>
      <c r="D17" s="24" t="str">
        <f t="array" ref="D17">IF(B17="","",IFERROR(INDEX(BD_PT!$C$2:$C$66,MATCH(B17,BD_PT!$B$2:$B$66,0))*IF(A17="",1,A17),""))</f>
        <v/>
      </c>
      <c r="E17" s="24"/>
      <c r="F17" s="24"/>
    </row>
    <row r="18" ht="15.75" customHeight="1">
      <c r="A18" s="24"/>
      <c r="B18" s="24"/>
      <c r="C18" s="24" t="str">
        <f t="array" ref="C18">IF(B18="","",IFERROR(INDEX(BD_PT!$A$2:$A$66,MATCH(B18,BD_PT!$B$2:$B$66,0)),""))</f>
        <v/>
      </c>
      <c r="D18" s="24" t="str">
        <f t="array" ref="D18">IF(B18="","",IFERROR(INDEX(BD_PT!$C$2:$C$66,MATCH(B18,BD_PT!$B$2:$B$66,0))*IF(A18="",1,A18),""))</f>
        <v/>
      </c>
      <c r="E18" s="24"/>
      <c r="F18" s="24"/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140</v>
      </c>
      <c r="I1" s="27">
        <v>1000.0</v>
      </c>
    </row>
    <row r="2" ht="15.75" customHeight="1">
      <c r="A2" s="22">
        <v>1.0</v>
      </c>
      <c r="B2" s="23" t="s">
        <v>8</v>
      </c>
      <c r="C2" s="24" t="str">
        <f t="array" ref="C2">IF(B2="","",IFERROR(INDEX(BD_PT!$A$2:$A$66,MATCH(B2,BD_PT!$B$2:$B$66,0)),""))</f>
        <v>FRES-03</v>
      </c>
      <c r="D2" s="24">
        <f t="array" ref="D2">IF(B2="","",IFERROR(INDEX(BD_PT!$C$2:$C$66,MATCH(B2,BD_PT!$B$2:$B$66,0))*IF(A2="",1,A2),""))</f>
        <v>89</v>
      </c>
      <c r="E2" s="24"/>
      <c r="F2" s="24"/>
      <c r="H2" s="27" t="s">
        <v>151</v>
      </c>
      <c r="I2" s="27">
        <f>1035+20</f>
        <v>1055</v>
      </c>
    </row>
    <row r="3" ht="15.75" customHeight="1">
      <c r="A3" s="22">
        <v>1.0</v>
      </c>
      <c r="B3" s="22" t="s">
        <v>38</v>
      </c>
      <c r="C3" s="24" t="str">
        <f t="array" ref="C3">IF(B3="","",IFERROR(INDEX(BD_PT!$A$2:$A$66,MATCH(B3,BD_PT!$B$2:$B$66,0)),""))</f>
        <v>FRES-18</v>
      </c>
      <c r="D3" s="24">
        <f t="array" ref="D3">IF(B3="","",IFERROR(INDEX(BD_PT!$C$2:$C$66,MATCH(B3,BD_PT!$B$2:$B$66,0))*IF(A3="",1,A3),""))</f>
        <v>125</v>
      </c>
      <c r="E3" s="24"/>
      <c r="F3" s="24"/>
      <c r="H3" s="27" t="s">
        <v>169</v>
      </c>
      <c r="I3" s="28">
        <f>19.19+59.48+52.77</f>
        <v>131.44</v>
      </c>
    </row>
    <row r="4" ht="15.75" customHeight="1">
      <c r="A4" s="22">
        <v>1.0</v>
      </c>
      <c r="B4" s="22" t="s">
        <v>56</v>
      </c>
      <c r="C4" s="24" t="str">
        <f t="array" ref="C4">IF(B4="","",IFERROR(INDEX(BD_PT!$A$2:$A$66,MATCH(B4,BD_PT!$B$2:$B$66,0)),""))</f>
        <v>POST-02</v>
      </c>
      <c r="D4" s="22">
        <v>44.0</v>
      </c>
      <c r="E4" s="22">
        <v>55.0</v>
      </c>
      <c r="F4" s="22" t="s">
        <v>206</v>
      </c>
    </row>
    <row r="5" ht="15.75" customHeight="1">
      <c r="A5" s="22">
        <v>1.0</v>
      </c>
      <c r="B5" s="22" t="s">
        <v>207</v>
      </c>
      <c r="C5" s="24" t="str">
        <f t="array" ref="C5">IF(B5="","",IFERROR(INDEX(BD_PT!$A$2:$A$66,MATCH(B5,BD_PT!$B$2:$B$66,0)),""))</f>
        <v/>
      </c>
      <c r="D5" s="22">
        <v>10.0</v>
      </c>
      <c r="E5" s="24"/>
      <c r="F5" s="24"/>
    </row>
    <row r="6" ht="15.75" customHeight="1">
      <c r="A6" s="22">
        <v>1.0</v>
      </c>
      <c r="B6" s="22" t="s">
        <v>6</v>
      </c>
      <c r="C6" s="24" t="str">
        <f t="array" ref="C6">IF(B6="","",IFERROR(INDEX(BD_PT!$A$2:$A$66,MATCH(B6,BD_PT!$B$2:$B$66,0)),""))</f>
        <v>FRES-02</v>
      </c>
      <c r="D6" s="24">
        <f t="array" ref="D6">IF(B6="","",IFERROR(INDEX(BD_PT!$C$2:$C$66,MATCH(B6,BD_PT!$B$2:$B$66,0))*IF(A6="",1,A6),""))</f>
        <v>69</v>
      </c>
      <c r="E6" s="24"/>
      <c r="F6" s="24"/>
    </row>
    <row r="7" ht="15.75" customHeight="1">
      <c r="A7" s="22">
        <v>1.0</v>
      </c>
      <c r="B7" s="22" t="s">
        <v>80</v>
      </c>
      <c r="C7" s="24" t="str">
        <f t="array" ref="C7">IF(B7="","",IFERROR(INDEX(BD_PT!$A$2:$A$66,MATCH(B7,BD_PT!$B$2:$B$66,0)),""))</f>
        <v>EXTR-03</v>
      </c>
      <c r="D7" s="24">
        <f t="array" ref="D7">IF(B7="","",IFERROR(INDEX(BD_PT!$C$2:$C$66,MATCH(B7,BD_PT!$B$2:$B$66,0))*IF(A7="",1,A7),""))</f>
        <v>20</v>
      </c>
      <c r="E7" s="24"/>
      <c r="F7" s="24"/>
    </row>
    <row r="8" ht="15.75" customHeight="1">
      <c r="A8" s="22">
        <v>1.0</v>
      </c>
      <c r="B8" s="22" t="s">
        <v>72</v>
      </c>
      <c r="C8" s="24" t="str">
        <f t="array" ref="C8">IF(B8="","",IFERROR(INDEX(BD_PT!$A$2:$A$66,MATCH(B8,BD_PT!$B$2:$B$66,0)),""))</f>
        <v>POST-10</v>
      </c>
      <c r="D8" s="24">
        <f t="array" ref="D8">IF(B8="","",IFERROR(INDEX(BD_PT!$C$2:$C$66,MATCH(B8,BD_PT!$B$2:$B$66,0))*IF(A8="",1,A8),""))</f>
        <v>20</v>
      </c>
      <c r="E8" s="24"/>
      <c r="F8" s="24"/>
    </row>
    <row r="9" ht="15.75" customHeight="1">
      <c r="A9" s="22">
        <v>1.0</v>
      </c>
      <c r="B9" s="22" t="s">
        <v>6</v>
      </c>
      <c r="C9" s="24" t="str">
        <f t="array" ref="C9">IF(B9="","",IFERROR(INDEX(BD_PT!$A$2:$A$66,MATCH(B9,BD_PT!$B$2:$B$66,0)),""))</f>
        <v>FRES-02</v>
      </c>
      <c r="D9" s="24">
        <f t="array" ref="D9">IF(B9="","",IFERROR(INDEX(BD_PT!$C$2:$C$66,MATCH(B9,BD_PT!$B$2:$B$66,0))*IF(A9="",1,A9),""))</f>
        <v>69</v>
      </c>
      <c r="E9" s="24"/>
      <c r="F9" s="24"/>
    </row>
    <row r="10" ht="15.75" customHeight="1">
      <c r="A10" s="22">
        <v>1.0</v>
      </c>
      <c r="B10" s="22" t="s">
        <v>50</v>
      </c>
      <c r="C10" s="24" t="str">
        <f t="array" ref="C10">IF(B10="","",IFERROR(INDEX(BD_PT!$A$2:$A$66,MATCH(B10,BD_PT!$B$2:$B$66,0)),""))</f>
        <v>GALL-04</v>
      </c>
      <c r="D10" s="24">
        <f t="array" ref="D10">IF(B10="","",IFERROR(INDEX(BD_PT!$C$2:$C$66,MATCH(B10,BD_PT!$B$2:$B$66,0))*IF(A10="",1,A10),""))</f>
        <v>39</v>
      </c>
      <c r="E10" s="24"/>
      <c r="F10" s="24"/>
    </row>
    <row r="11" ht="15.75" customHeight="1">
      <c r="A11" s="22">
        <v>1.0</v>
      </c>
      <c r="B11" s="22" t="s">
        <v>4</v>
      </c>
      <c r="C11" s="24" t="str">
        <f t="array" ref="C11">IF(B11="","",IFERROR(INDEX(BD_PT!$A$2:$A$66,MATCH(B11,BD_PT!$B$2:$B$66,0)),""))</f>
        <v>FRES-01</v>
      </c>
      <c r="D11" s="24">
        <f>46*0.9567</f>
        <v>44.0082</v>
      </c>
      <c r="E11" s="24"/>
      <c r="F11" s="22" t="s">
        <v>147</v>
      </c>
    </row>
    <row r="12" ht="15.75" customHeight="1">
      <c r="A12" s="22">
        <v>1.0</v>
      </c>
      <c r="B12" s="22" t="s">
        <v>88</v>
      </c>
      <c r="C12" s="24" t="str">
        <f t="array" ref="C12">IF(B12="","",IFERROR(INDEX(BD_PT!$A$2:$A$66,MATCH(B12,BD_PT!$B$2:$B$66,0)),""))</f>
        <v>TOPP-05CHO</v>
      </c>
      <c r="D12" s="24">
        <f>16*0.9567</f>
        <v>15.3072</v>
      </c>
      <c r="E12" s="24"/>
      <c r="F12" s="22" t="s">
        <v>147</v>
      </c>
    </row>
    <row r="13" ht="15.75" customHeight="1">
      <c r="A13" s="22">
        <v>1.0</v>
      </c>
      <c r="B13" s="22" t="s">
        <v>20</v>
      </c>
      <c r="C13" s="24" t="str">
        <f t="array" ref="C13">IF(B13="","",IFERROR(INDEX(BD_PT!$A$2:$A$66,MATCH(B13,BD_PT!$B$2:$B$66,0)),""))</f>
        <v>FRES-09</v>
      </c>
      <c r="D13" s="24">
        <f t="array" ref="D13">IF(B13="","",IFERROR(INDEX(BD_PT!$C$2:$C$66,MATCH(B13,BD_PT!$B$2:$B$66,0))*IF(A13="",1,A13),""))</f>
        <v>79</v>
      </c>
      <c r="E13" s="24"/>
      <c r="F13" s="24"/>
    </row>
    <row r="14" ht="15.75" customHeight="1">
      <c r="A14" s="22">
        <v>1.0</v>
      </c>
      <c r="B14" s="22" t="s">
        <v>68</v>
      </c>
      <c r="C14" s="24" t="str">
        <f t="array" ref="C14">IF(B14="","",IFERROR(INDEX(BD_PT!$A$2:$A$66,MATCH(B14,BD_PT!$B$2:$B$66,0)),""))</f>
        <v>POST-08</v>
      </c>
      <c r="D14" s="24">
        <f t="array" ref="D14">IF(B14="","",IFERROR(INDEX(BD_PT!$C$2:$C$66,MATCH(B14,BD_PT!$B$2:$B$66,0))*IF(A14="",1,A14),""))</f>
        <v>35</v>
      </c>
      <c r="E14" s="24"/>
      <c r="F14" s="24"/>
    </row>
    <row r="15" ht="15.75" customHeight="1">
      <c r="A15" s="22">
        <v>1.0</v>
      </c>
      <c r="B15" s="22" t="s">
        <v>18</v>
      </c>
      <c r="C15" s="24" t="str">
        <f t="array" ref="C15">IF(B15="","",IFERROR(INDEX(BD_PT!$A$2:$A$66,MATCH(B15,BD_PT!$B$2:$B$66,0)),""))</f>
        <v>FRES-08</v>
      </c>
      <c r="D15" s="24">
        <f>55*0.9567</f>
        <v>52.6185</v>
      </c>
      <c r="E15" s="24"/>
      <c r="F15" s="22" t="s">
        <v>147</v>
      </c>
    </row>
    <row r="16" ht="15.75" customHeight="1">
      <c r="A16" s="22">
        <v>1.0</v>
      </c>
      <c r="B16" s="22" t="s">
        <v>28</v>
      </c>
      <c r="C16" s="24" t="str">
        <f t="array" ref="C16">IF(B16="","",IFERROR(INDEX(BD_PT!$A$2:$A$66,MATCH(B16,BD_PT!$B$2:$B$66,0)),""))</f>
        <v>FRES-13</v>
      </c>
      <c r="D16" s="24">
        <f t="array" ref="D16">IF(B16="","",IFERROR(INDEX(BD_PT!$C$2:$C$66,MATCH(B16,BD_PT!$B$2:$B$66,0))*IF(A16="",1,A16),""))</f>
        <v>133</v>
      </c>
      <c r="E16" s="24"/>
      <c r="F16" s="24"/>
    </row>
    <row r="17" ht="15.75" customHeight="1">
      <c r="A17" s="22">
        <v>1.0</v>
      </c>
      <c r="B17" s="22" t="s">
        <v>24</v>
      </c>
      <c r="C17" s="24" t="str">
        <f t="array" ref="C17">IF(B17="","",IFERROR(INDEX(BD_PT!$A$2:$A$66,MATCH(B17,BD_PT!$B$2:$B$66,0)),""))</f>
        <v>FRES-11</v>
      </c>
      <c r="D17" s="24">
        <f t="array" ref="D17">IF(B17="","",IFERROR(INDEX(BD_PT!$C$2:$C$66,MATCH(B17,BD_PT!$B$2:$B$66,0))*IF(A17="",1,A17),""))</f>
        <v>128</v>
      </c>
      <c r="E17" s="24"/>
      <c r="F17" s="24"/>
    </row>
    <row r="18" ht="15.75" customHeight="1">
      <c r="A18" s="22">
        <v>1.0</v>
      </c>
      <c r="B18" s="22" t="s">
        <v>4</v>
      </c>
      <c r="C18" s="24" t="str">
        <f t="array" ref="C18">IF(B18="","",IFERROR(INDEX(BD_PT!$A$2:$A$66,MATCH(B18,BD_PT!$B$2:$B$66,0)),""))</f>
        <v>FRES-01</v>
      </c>
      <c r="D18" s="24">
        <f t="array" ref="D18">IF(B18="","",IFERROR(INDEX(BD_PT!$C$2:$C$66,MATCH(B18,BD_PT!$B$2:$B$66,0))*IF(A18="",1,A18),""))</f>
        <v>46</v>
      </c>
      <c r="E18" s="24"/>
      <c r="F18" s="24"/>
    </row>
    <row r="19" ht="15.75" customHeight="1">
      <c r="A19" s="22">
        <v>1.0</v>
      </c>
      <c r="B19" s="22" t="s">
        <v>50</v>
      </c>
      <c r="C19" s="24" t="str">
        <f t="array" ref="C19">IF(B19="","",IFERROR(INDEX(BD_PT!$A$2:$A$66,MATCH(B19,BD_PT!$B$2:$B$66,0)),""))</f>
        <v>GALL-04</v>
      </c>
      <c r="D19" s="24">
        <f t="array" ref="D19">IF(B19="","",IFERROR(INDEX(BD_PT!$C$2:$C$66,MATCH(B19,BD_PT!$B$2:$B$66,0))*IF(A19="",1,A19),""))</f>
        <v>39</v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  <col customWidth="1" min="6" max="6" width="19.6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140</v>
      </c>
      <c r="I1" s="27">
        <v>1000.0</v>
      </c>
    </row>
    <row r="2" ht="15.75" customHeight="1">
      <c r="A2" s="22">
        <v>1.0</v>
      </c>
      <c r="B2" s="23" t="s">
        <v>6</v>
      </c>
      <c r="C2" s="24" t="str">
        <f t="array" ref="C2">IF(B2="","",IFERROR(INDEX(BD_PT!$A$2:$A$66,MATCH(B2,BD_PT!$B$2:$B$66,0)),""))</f>
        <v>FRES-02</v>
      </c>
      <c r="D2" s="24">
        <f t="array" ref="D2">IF(B2="","",IFERROR(INDEX(BD_PT!$C$2:$C$66,MATCH(B2,BD_PT!$B$2:$B$66,0))*IF(A2="",1,A2),""))</f>
        <v>69</v>
      </c>
      <c r="E2" s="24"/>
      <c r="F2" s="24"/>
      <c r="H2" s="27" t="s">
        <v>151</v>
      </c>
      <c r="I2" s="27">
        <v>1337.0</v>
      </c>
    </row>
    <row r="3" ht="15.75" customHeight="1">
      <c r="A3" s="22">
        <v>1.0</v>
      </c>
      <c r="B3" s="22" t="s">
        <v>6</v>
      </c>
      <c r="C3" s="24" t="str">
        <f t="array" ref="C3">IF(B3="","",IFERROR(INDEX(BD_PT!$A$2:$A$66,MATCH(B3,BD_PT!$B$2:$B$66,0)),""))</f>
        <v>FRES-02</v>
      </c>
      <c r="D3" s="24">
        <f t="array" ref="D3">IF(B3="","",IFERROR(INDEX(BD_PT!$C$2:$C$66,MATCH(B3,BD_PT!$B$2:$B$66,0))*IF(A3="",1,A3),""))</f>
        <v>69</v>
      </c>
      <c r="E3" s="24"/>
      <c r="F3" s="24"/>
      <c r="H3" s="27" t="s">
        <v>169</v>
      </c>
      <c r="I3" s="27">
        <v>789.59</v>
      </c>
    </row>
    <row r="4" ht="15.75" customHeight="1">
      <c r="A4" s="22">
        <v>1.0</v>
      </c>
      <c r="B4" s="22" t="s">
        <v>80</v>
      </c>
      <c r="C4" s="24" t="str">
        <f t="array" ref="C4">IF(B4="","",IFERROR(INDEX(BD_PT!$A$2:$A$66,MATCH(B4,BD_PT!$B$2:$B$66,0)),""))</f>
        <v>EXTR-03</v>
      </c>
      <c r="D4" s="22">
        <v>10.0</v>
      </c>
      <c r="E4" s="24"/>
      <c r="F4" s="24"/>
    </row>
    <row r="5" ht="15.75" customHeight="1">
      <c r="A5" s="22">
        <v>1.0</v>
      </c>
      <c r="B5" s="22" t="s">
        <v>119</v>
      </c>
      <c r="C5" s="24" t="str">
        <f t="array" ref="C5">IF(B5="","",IFERROR(INDEX(BD_PT!$A$2:$A$66,MATCH(B5,BD_PT!$B$2:$B$66,0)),""))</f>
        <v>OL2T5</v>
      </c>
      <c r="D5" s="22">
        <f>155*0.9567</f>
        <v>148.2885</v>
      </c>
      <c r="E5" s="22">
        <v>155.0</v>
      </c>
      <c r="F5" s="22" t="s">
        <v>208</v>
      </c>
    </row>
    <row r="6" ht="15.75" customHeight="1">
      <c r="A6" s="22">
        <v>1.0</v>
      </c>
      <c r="B6" s="22" t="s">
        <v>127</v>
      </c>
      <c r="C6" s="24" t="str">
        <f t="array" ref="C6">IF(B6="","",IFERROR(INDEX(BD_PT!$A$2:$A$66,MATCH(B6,BD_PT!$B$2:$B$66,0)),""))</f>
        <v>PT1.9</v>
      </c>
      <c r="D6" s="22">
        <f>281*0.9567</f>
        <v>268.8327</v>
      </c>
      <c r="E6" s="22">
        <v>281.0</v>
      </c>
      <c r="F6" s="22" t="s">
        <v>190</v>
      </c>
    </row>
    <row r="7" ht="15.75" customHeight="1">
      <c r="A7" s="22">
        <v>1.0</v>
      </c>
      <c r="B7" s="22" t="s">
        <v>18</v>
      </c>
      <c r="C7" s="24" t="str">
        <f t="array" ref="C7">IF(B7="","",IFERROR(INDEX(BD_PT!$A$2:$A$66,MATCH(B7,BD_PT!$B$2:$B$66,0)),""))</f>
        <v>FRES-08</v>
      </c>
      <c r="D7" s="24">
        <f t="array" ref="D7">IF(B7="","",IFERROR(INDEX(BD_PT!$C$2:$C$66,MATCH(B7,BD_PT!$B$2:$B$66,0))*IF(A7="",1,A7),""))</f>
        <v>55</v>
      </c>
      <c r="E7" s="24"/>
      <c r="F7" s="24"/>
    </row>
    <row r="8" ht="15.75" customHeight="1">
      <c r="A8" s="22">
        <v>1.0</v>
      </c>
      <c r="B8" s="22" t="s">
        <v>24</v>
      </c>
      <c r="C8" s="24" t="str">
        <f t="array" ref="C8">IF(B8="","",IFERROR(INDEX(BD_PT!$A$2:$A$66,MATCH(B8,BD_PT!$B$2:$B$66,0)),""))</f>
        <v>FRES-11</v>
      </c>
      <c r="D8" s="24">
        <f t="array" ref="D8">IF(B8="","",IFERROR(INDEX(BD_PT!$C$2:$C$66,MATCH(B8,BD_PT!$B$2:$B$66,0))*IF(A8="",1,A8),""))</f>
        <v>128</v>
      </c>
      <c r="E8" s="24"/>
      <c r="F8" s="24"/>
    </row>
    <row r="9" ht="15.75" customHeight="1">
      <c r="A9" s="22">
        <v>1.0</v>
      </c>
      <c r="B9" s="22" t="s">
        <v>101</v>
      </c>
      <c r="C9" s="24" t="str">
        <f t="array" ref="C9">IF(B9="","",IFERROR(INDEX(BD_PT!$A$2:$A$66,MATCH(B9,BD_PT!$B$2:$B$66,0)),""))</f>
        <v>AC3</v>
      </c>
      <c r="D9" s="22">
        <v>60.0</v>
      </c>
      <c r="E9" s="24"/>
      <c r="F9" s="22" t="s">
        <v>164</v>
      </c>
    </row>
    <row r="10" ht="15.75" customHeight="1">
      <c r="A10" s="22">
        <v>1.0</v>
      </c>
      <c r="B10" s="22" t="s">
        <v>101</v>
      </c>
      <c r="C10" s="24" t="str">
        <f t="array" ref="C10">IF(B10="","",IFERROR(INDEX(BD_PT!$A$2:$A$66,MATCH(B10,BD_PT!$B$2:$B$66,0)),""))</f>
        <v>AC3</v>
      </c>
      <c r="D10" s="22">
        <v>90.0</v>
      </c>
      <c r="E10" s="24"/>
      <c r="F10" s="22" t="s">
        <v>164</v>
      </c>
    </row>
    <row r="11" ht="15.75" customHeight="1">
      <c r="A11" s="22">
        <v>1.0</v>
      </c>
      <c r="B11" s="22" t="s">
        <v>34</v>
      </c>
      <c r="C11" s="24" t="str">
        <f t="array" ref="C11">IF(B11="","",IFERROR(INDEX(BD_PT!$A$2:$A$66,MATCH(B11,BD_PT!$B$2:$B$66,0)),""))</f>
        <v>FRES-16</v>
      </c>
      <c r="D11" s="24">
        <f t="array" ref="D11">IF(B11="","",IFERROR(INDEX(BD_PT!$C$2:$C$66,MATCH(B11,BD_PT!$B$2:$B$66,0))*IF(A11="",1,A11),""))</f>
        <v>96</v>
      </c>
      <c r="E11" s="24"/>
      <c r="F11" s="24"/>
    </row>
    <row r="12" ht="15.75" customHeight="1">
      <c r="A12" s="22">
        <v>1.0</v>
      </c>
      <c r="B12" s="22" t="s">
        <v>4</v>
      </c>
      <c r="C12" s="24" t="str">
        <f t="array" ref="C12">IF(B12="","",IFERROR(INDEX(BD_PT!$A$2:$A$66,MATCH(B12,BD_PT!$B$2:$B$66,0)),""))</f>
        <v>FRES-01</v>
      </c>
      <c r="D12" s="24">
        <f t="array" ref="D12">IF(B12="","",IFERROR(INDEX(BD_PT!$C$2:$C$66,MATCH(B12,BD_PT!$B$2:$B$66,0))*IF(A12="",1,A12),""))</f>
        <v>46</v>
      </c>
      <c r="E12" s="24"/>
      <c r="F12" s="24"/>
    </row>
    <row r="13" ht="15.75" customHeight="1">
      <c r="A13" s="22">
        <v>1.0</v>
      </c>
      <c r="B13" s="22" t="s">
        <v>4</v>
      </c>
      <c r="C13" s="24" t="str">
        <f t="array" ref="C13">IF(B13="","",IFERROR(INDEX(BD_PT!$A$2:$A$66,MATCH(B13,BD_PT!$B$2:$B$66,0)),""))</f>
        <v>FRES-01</v>
      </c>
      <c r="D13" s="24">
        <f t="array" ref="D13">IF(B13="","",IFERROR(INDEX(BD_PT!$C$2:$C$66,MATCH(B13,BD_PT!$B$2:$B$66,0))*IF(A13="",1,A13),""))</f>
        <v>46</v>
      </c>
      <c r="E13" s="24"/>
      <c r="F13" s="24"/>
    </row>
    <row r="14" ht="15.75" customHeight="1">
      <c r="A14" s="22">
        <v>1.0</v>
      </c>
      <c r="B14" s="22" t="s">
        <v>99</v>
      </c>
      <c r="C14" s="24" t="str">
        <f t="array" ref="C14">IF(B14="","",IFERROR(INDEX(BD_PT!$A$2:$A$66,MATCH(B14,BD_PT!$B$2:$B$66,0)),""))</f>
        <v>AC2T5</v>
      </c>
      <c r="D14" s="22">
        <v>165.0</v>
      </c>
      <c r="E14" s="24"/>
      <c r="F14" s="22" t="s">
        <v>148</v>
      </c>
    </row>
    <row r="15" ht="15.75" customHeight="1">
      <c r="A15" s="22">
        <v>1.0</v>
      </c>
      <c r="B15" s="22" t="s">
        <v>50</v>
      </c>
      <c r="C15" s="24" t="str">
        <f t="array" ref="C15">IF(B15="","",IFERROR(INDEX(BD_PT!$A$2:$A$66,MATCH(B15,BD_PT!$B$2:$B$66,0)),""))</f>
        <v>GALL-04</v>
      </c>
      <c r="D15" s="24">
        <f>39*0.9567</f>
        <v>37.3113</v>
      </c>
      <c r="E15" s="22">
        <v>39.0</v>
      </c>
      <c r="F15" s="22" t="s">
        <v>147</v>
      </c>
    </row>
    <row r="16" ht="15.75" customHeight="1">
      <c r="A16" s="22">
        <v>1.0</v>
      </c>
      <c r="B16" s="22" t="s">
        <v>72</v>
      </c>
      <c r="C16" s="24" t="str">
        <f t="array" ref="C16">IF(B16="","",IFERROR(INDEX(BD_PT!$A$2:$A$66,MATCH(B16,BD_PT!$B$2:$B$66,0)),""))</f>
        <v>POST-10</v>
      </c>
      <c r="D16" s="24">
        <f t="array" ref="D16">IF(B16="","",IFERROR(INDEX(BD_PT!$C$2:$C$66,MATCH(B16,BD_PT!$B$2:$B$66,0))*IF(A16="",1,A16),""))</f>
        <v>20</v>
      </c>
      <c r="E16" s="24"/>
      <c r="F16" s="24"/>
    </row>
    <row r="17" ht="15.75" customHeight="1">
      <c r="A17" s="22">
        <v>2.0</v>
      </c>
      <c r="B17" s="22" t="s">
        <v>209</v>
      </c>
      <c r="C17" s="24" t="str">
        <f t="array" ref="C17">IF(B17="","",IFERROR(INDEX(BD_PT!$A$2:$A$66,MATCH(B17,BD_PT!$B$2:$B$66,0)),""))</f>
        <v/>
      </c>
      <c r="D17" s="22">
        <v>20.0</v>
      </c>
      <c r="E17" s="24"/>
      <c r="F17" s="24"/>
    </row>
    <row r="18" ht="15.75" customHeight="1">
      <c r="A18" s="22">
        <v>1.0</v>
      </c>
      <c r="B18" s="22" t="s">
        <v>6</v>
      </c>
      <c r="C18" s="24" t="str">
        <f t="array" ref="C18">IF(B18="","",IFERROR(INDEX(BD_PT!$A$2:$A$66,MATCH(B18,BD_PT!$B$2:$B$66,0)),""))</f>
        <v>FRES-02</v>
      </c>
      <c r="D18" s="24">
        <f t="array" ref="D18">IF(B18="","",IFERROR(INDEX(BD_PT!$C$2:$C$66,MATCH(B18,BD_PT!$B$2:$B$66,0))*IF(A18="",1,A18),""))</f>
        <v>69</v>
      </c>
      <c r="E18" s="24"/>
      <c r="F18" s="24"/>
    </row>
    <row r="19" ht="15.75" customHeight="1">
      <c r="A19" s="22">
        <v>1.0</v>
      </c>
      <c r="B19" s="22" t="s">
        <v>6</v>
      </c>
      <c r="C19" s="24" t="str">
        <f t="array" ref="C19">IF(B19="","",IFERROR(INDEX(BD_PT!$A$2:$A$66,MATCH(B19,BD_PT!$B$2:$B$66,0)),""))</f>
        <v>FRES-02</v>
      </c>
      <c r="D19" s="24">
        <f t="array" ref="D19">IF(B19="","",IFERROR(INDEX(BD_PT!$C$2:$C$66,MATCH(B19,BD_PT!$B$2:$B$66,0))*IF(A19="",1,A19),""))</f>
        <v>69</v>
      </c>
      <c r="E19" s="24"/>
      <c r="F19" s="24"/>
    </row>
    <row r="20" ht="15.75" customHeight="1">
      <c r="A20" s="22">
        <v>1.0</v>
      </c>
      <c r="B20" s="22" t="s">
        <v>101</v>
      </c>
      <c r="C20" s="24" t="str">
        <f t="array" ref="C20">IF(B20="","",IFERROR(INDEX(BD_PT!$A$2:$A$66,MATCH(B20,BD_PT!$B$2:$B$66,0)),""))</f>
        <v>AC3</v>
      </c>
      <c r="D20" s="22">
        <v>90.0</v>
      </c>
      <c r="E20" s="24"/>
      <c r="F20" s="22" t="s">
        <v>164</v>
      </c>
    </row>
    <row r="21" ht="15.75" customHeight="1">
      <c r="A21" s="22">
        <v>1.0</v>
      </c>
      <c r="B21" s="22" t="s">
        <v>101</v>
      </c>
      <c r="C21" s="24" t="str">
        <f t="array" ref="C21">IF(B21="","",IFERROR(INDEX(BD_PT!$A$2:$A$66,MATCH(B21,BD_PT!$B$2:$B$66,0)),""))</f>
        <v>AC3</v>
      </c>
      <c r="D21" s="22">
        <f>138*0.9567</f>
        <v>132.0246</v>
      </c>
      <c r="E21" s="22">
        <v>138.0</v>
      </c>
      <c r="F21" s="22" t="s">
        <v>210</v>
      </c>
    </row>
    <row r="22" ht="15.75" customHeight="1">
      <c r="A22" s="22">
        <v>1.0</v>
      </c>
      <c r="B22" s="22" t="s">
        <v>18</v>
      </c>
      <c r="C22" s="24" t="str">
        <f t="array" ref="C22">IF(B22="","",IFERROR(INDEX(BD_PT!$A$2:$A$66,MATCH(B22,BD_PT!$B$2:$B$66,0)),""))</f>
        <v>FRES-08</v>
      </c>
      <c r="D22" s="24">
        <f t="array" ref="D22">IF(B22="","",IFERROR(INDEX(BD_PT!$C$2:$C$66,MATCH(B22,BD_PT!$B$2:$B$66,0))*IF(A22="",1,A22),""))</f>
        <v>55</v>
      </c>
      <c r="E22" s="24"/>
      <c r="F22" s="24"/>
    </row>
    <row r="23" ht="15.75" customHeight="1">
      <c r="A23" s="22">
        <v>2.0</v>
      </c>
      <c r="B23" s="22" t="s">
        <v>101</v>
      </c>
      <c r="C23" s="24" t="str">
        <f t="array" ref="C23">IF(B23="","",IFERROR(INDEX(BD_PT!$A$2:$A$66,MATCH(B23,BD_PT!$B$2:$B$66,0)),""))</f>
        <v>AC3</v>
      </c>
      <c r="D23" s="24">
        <f>180*0.9567</f>
        <v>172.206</v>
      </c>
      <c r="E23" s="22">
        <v>180.0</v>
      </c>
      <c r="F23" s="22" t="s">
        <v>211</v>
      </c>
    </row>
    <row r="24" ht="15.75" customHeight="1">
      <c r="A24" s="22">
        <v>1.0</v>
      </c>
      <c r="B24" s="22" t="s">
        <v>101</v>
      </c>
      <c r="C24" s="24" t="str">
        <f t="array" ref="C24">IF(B24="","",IFERROR(INDEX(BD_PT!$A$2:$A$66,MATCH(B24,BD_PT!$B$2:$B$66,0)),""))</f>
        <v>AC3</v>
      </c>
      <c r="D24" s="24">
        <f>30*0.9567</f>
        <v>28.701</v>
      </c>
      <c r="E24" s="22">
        <v>30.0</v>
      </c>
      <c r="F24" s="22" t="s">
        <v>152</v>
      </c>
    </row>
    <row r="25" ht="15.75" customHeight="1">
      <c r="A25" s="22">
        <v>2.0</v>
      </c>
      <c r="B25" s="22" t="s">
        <v>4</v>
      </c>
      <c r="C25" s="24" t="str">
        <f t="array" ref="C25">IF(B25="","",IFERROR(INDEX(BD_PT!$A$2:$A$66,MATCH(B25,BD_PT!$B$2:$B$66,0)),""))</f>
        <v>FRES-01</v>
      </c>
      <c r="D25" s="24">
        <f t="array" ref="D25">IF(B25="","",IFERROR(INDEX(BD_PT!$C$2:$C$66,MATCH(B25,BD_PT!$B$2:$B$66,0))*IF(A25="",1,A25),""))</f>
        <v>92</v>
      </c>
      <c r="E25" s="24"/>
      <c r="F25" s="24"/>
    </row>
    <row r="26" ht="15.75" customHeight="1">
      <c r="A26" s="22">
        <v>1.0</v>
      </c>
      <c r="B26" s="22" t="s">
        <v>6</v>
      </c>
      <c r="C26" s="24" t="str">
        <f t="array" ref="C26">IF(B26="","",IFERROR(INDEX(BD_PT!$A$2:$A$66,MATCH(B26,BD_PT!$B$2:$B$66,0)),""))</f>
        <v>FRES-02</v>
      </c>
      <c r="D26" s="24">
        <f t="array" ref="D26">IF(B26="","",IFERROR(INDEX(BD_PT!$C$2:$C$66,MATCH(B26,BD_PT!$B$2:$B$66,0))*IF(A26="",1,A26),""))</f>
        <v>69</v>
      </c>
      <c r="E26" s="24"/>
      <c r="F26" s="24"/>
    </row>
    <row r="27" ht="15.75" customHeight="1">
      <c r="A27" s="22">
        <v>1.0</v>
      </c>
      <c r="B27" s="22" t="s">
        <v>80</v>
      </c>
      <c r="C27" s="24" t="str">
        <f t="array" ref="C27">IF(B27="","",IFERROR(INDEX(BD_PT!$A$2:$A$66,MATCH(B27,BD_PT!$B$2:$B$66,0)),""))</f>
        <v>EXTR-03</v>
      </c>
      <c r="D27" s="24">
        <f t="array" ref="D27">IF(B27="","",IFERROR(INDEX(BD_PT!$C$2:$C$66,MATCH(B27,BD_PT!$B$2:$B$66,0))*IF(A27="",1,A27),""))</f>
        <v>20</v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140</v>
      </c>
      <c r="I1" s="28"/>
    </row>
    <row r="2" ht="15.75" customHeight="1">
      <c r="A2" s="22">
        <v>1.0</v>
      </c>
      <c r="B2" s="23" t="s">
        <v>94</v>
      </c>
      <c r="C2" s="24" t="str">
        <f t="array" ref="C2">IF(B2="","",IFERROR(INDEX(BD_PT!$A$2:$A$66,MATCH(B2,BD_PT!$B$2:$B$66,0)),""))</f>
        <v>TOPP-15MAZ</v>
      </c>
      <c r="D2" s="24">
        <f t="array" ref="D2">IF(B2="","",IFERROR(INDEX(BD_PT!$C$2:$C$66,MATCH(B2,BD_PT!$B$2:$B$66,0))*IF(A2="",1,A2),""))</f>
        <v>5</v>
      </c>
      <c r="E2" s="24"/>
      <c r="F2" s="24"/>
      <c r="H2" s="27" t="s">
        <v>151</v>
      </c>
      <c r="I2" s="28"/>
    </row>
    <row r="3" ht="15.75" customHeight="1">
      <c r="A3" s="22">
        <v>1.0</v>
      </c>
      <c r="B3" s="22" t="s">
        <v>94</v>
      </c>
      <c r="C3" s="24" t="str">
        <f t="array" ref="C3">IF(B3="","",IFERROR(INDEX(BD_PT!$A$2:$A$66,MATCH(B3,BD_PT!$B$2:$B$66,0)),""))</f>
        <v>TOPP-15MAZ</v>
      </c>
      <c r="D3" s="24">
        <f t="array" ref="D3">IF(B3="","",IFERROR(INDEX(BD_PT!$C$2:$C$66,MATCH(B3,BD_PT!$B$2:$B$66,0))*IF(A3="",1,A3),""))</f>
        <v>5</v>
      </c>
      <c r="E3" s="24"/>
      <c r="F3" s="24"/>
      <c r="H3" s="27" t="s">
        <v>169</v>
      </c>
      <c r="I3" s="28"/>
    </row>
    <row r="4" ht="15.75" customHeight="1">
      <c r="A4" s="22">
        <v>1.0</v>
      </c>
      <c r="B4" s="22" t="s">
        <v>94</v>
      </c>
      <c r="C4" s="24" t="str">
        <f t="array" ref="C4">IF(B4="","",IFERROR(INDEX(BD_PT!$A$2:$A$66,MATCH(B4,BD_PT!$B$2:$B$66,0)),""))</f>
        <v>TOPP-15MAZ</v>
      </c>
      <c r="D4" s="24">
        <f t="array" ref="D4">IF(B4="","",IFERROR(INDEX(BD_PT!$C$2:$C$66,MATCH(B4,BD_PT!$B$2:$B$66,0))*IF(A4="",1,A4),""))</f>
        <v>5</v>
      </c>
      <c r="E4" s="24"/>
      <c r="F4" s="24"/>
    </row>
    <row r="5" ht="15.75" customHeight="1">
      <c r="A5" s="22">
        <v>1.0</v>
      </c>
      <c r="B5" s="22" t="s">
        <v>12</v>
      </c>
      <c r="C5" s="24" t="str">
        <f t="array" ref="C5">IF(B5="","",IFERROR(INDEX(BD_PT!$A$2:$A$66,MATCH(B5,BD_PT!$B$2:$B$66,0)),""))</f>
        <v>FRES-05</v>
      </c>
      <c r="D5" s="24">
        <f t="array" ref="D5">IF(B5="","",IFERROR(INDEX(BD_PT!$C$2:$C$66,MATCH(B5,BD_PT!$B$2:$B$66,0))*IF(A5="",1,A5),""))</f>
        <v>55</v>
      </c>
      <c r="E5" s="24"/>
      <c r="F5" s="24"/>
    </row>
    <row r="6" ht="15.75" customHeight="1">
      <c r="A6" s="22">
        <v>1.0</v>
      </c>
      <c r="B6" s="22" t="s">
        <v>18</v>
      </c>
      <c r="C6" s="24" t="str">
        <f t="array" ref="C6">IF(B6="","",IFERROR(INDEX(BD_PT!$A$2:$A$66,MATCH(B6,BD_PT!$B$2:$B$66,0)),""))</f>
        <v>FRES-08</v>
      </c>
      <c r="D6" s="24">
        <f t="array" ref="D6">IF(B6="","",IFERROR(INDEX(BD_PT!$C$2:$C$66,MATCH(B6,BD_PT!$B$2:$B$66,0))*IF(A6="",1,A6),""))</f>
        <v>55</v>
      </c>
      <c r="E6" s="24"/>
      <c r="F6" s="24"/>
    </row>
    <row r="7" ht="15.75" customHeight="1">
      <c r="A7" s="22">
        <v>1.0</v>
      </c>
      <c r="B7" s="22" t="s">
        <v>72</v>
      </c>
      <c r="C7" s="24" t="str">
        <f t="array" ref="C7">IF(B7="","",IFERROR(INDEX(BD_PT!$A$2:$A$66,MATCH(B7,BD_PT!$B$2:$B$66,0)),""))</f>
        <v>POST-10</v>
      </c>
      <c r="D7" s="24">
        <f t="array" ref="D7">IF(B7="","",IFERROR(INDEX(BD_PT!$C$2:$C$66,MATCH(B7,BD_PT!$B$2:$B$66,0))*IF(A7="",1,A7),""))</f>
        <v>20</v>
      </c>
      <c r="E7" s="24"/>
      <c r="F7" s="24"/>
    </row>
    <row r="8" ht="15.75" customHeight="1">
      <c r="A8" s="22">
        <v>1.0</v>
      </c>
      <c r="B8" s="22" t="s">
        <v>101</v>
      </c>
      <c r="C8" s="24" t="str">
        <f t="array" ref="C8">IF(B8="","",IFERROR(INDEX(BD_PT!$A$2:$A$66,MATCH(B8,BD_PT!$B$2:$B$66,0)),""))</f>
        <v>AC3</v>
      </c>
      <c r="D8" s="22">
        <v>90.0</v>
      </c>
      <c r="E8" s="24"/>
      <c r="F8" s="22" t="s">
        <v>164</v>
      </c>
    </row>
    <row r="9" ht="15.75" customHeight="1">
      <c r="A9" s="22">
        <v>1.0</v>
      </c>
      <c r="B9" s="22" t="s">
        <v>4</v>
      </c>
      <c r="C9" s="24" t="str">
        <f t="array" ref="C9">IF(B9="","",IFERROR(INDEX(BD_PT!$A$2:$A$66,MATCH(B9,BD_PT!$B$2:$B$66,0)),""))</f>
        <v>FRES-01</v>
      </c>
      <c r="D9" s="24">
        <f t="array" ref="D9">IF(B9="","",IFERROR(INDEX(BD_PT!$C$2:$C$66,MATCH(B9,BD_PT!$B$2:$B$66,0))*IF(A9="",1,A9),""))</f>
        <v>46</v>
      </c>
      <c r="E9" s="24"/>
      <c r="F9" s="24"/>
    </row>
    <row r="10" ht="15.75" customHeight="1">
      <c r="A10" s="22">
        <v>1.0</v>
      </c>
      <c r="B10" s="22" t="s">
        <v>4</v>
      </c>
      <c r="C10" s="24" t="str">
        <f t="array" ref="C10">IF(B10="","",IFERROR(INDEX(BD_PT!$A$2:$A$66,MATCH(B10,BD_PT!$B$2:$B$66,0)),""))</f>
        <v>FRES-01</v>
      </c>
      <c r="D10" s="24">
        <f t="array" ref="D10">IF(B10="","",IFERROR(INDEX(BD_PT!$C$2:$C$66,MATCH(B10,BD_PT!$B$2:$B$66,0))*IF(A10="",1,A10),""))</f>
        <v>46</v>
      </c>
      <c r="E10" s="24"/>
      <c r="F10" s="24"/>
    </row>
    <row r="11" ht="15.75" customHeight="1">
      <c r="A11" s="22">
        <v>1.0</v>
      </c>
      <c r="B11" s="22" t="s">
        <v>101</v>
      </c>
      <c r="C11" s="24" t="str">
        <f t="array" ref="C11">IF(B11="","",IFERROR(INDEX(BD_PT!$A$2:$A$66,MATCH(B11,BD_PT!$B$2:$B$66,0)),""))</f>
        <v>AC3</v>
      </c>
      <c r="D11" s="22">
        <v>105.0</v>
      </c>
      <c r="E11" s="24"/>
      <c r="F11" s="22" t="s">
        <v>162</v>
      </c>
    </row>
    <row r="12" ht="15.75" customHeight="1">
      <c r="A12" s="22">
        <v>1.0</v>
      </c>
      <c r="B12" s="22" t="s">
        <v>4</v>
      </c>
      <c r="C12" s="24" t="str">
        <f t="array" ref="C12">IF(B12="","",IFERROR(INDEX(BD_PT!$A$2:$A$66,MATCH(B12,BD_PT!$B$2:$B$66,0)),""))</f>
        <v>FRES-01</v>
      </c>
      <c r="D12" s="24">
        <f t="array" ref="D12">IF(B12="","",IFERROR(INDEX(BD_PT!$C$2:$C$66,MATCH(B12,BD_PT!$B$2:$B$66,0))*IF(A12="",1,A12),""))</f>
        <v>46</v>
      </c>
      <c r="E12" s="24"/>
      <c r="F12" s="24"/>
    </row>
    <row r="13" ht="15.75" customHeight="1">
      <c r="A13" s="22">
        <v>1.0</v>
      </c>
      <c r="B13" s="22" t="s">
        <v>26</v>
      </c>
      <c r="C13" s="24" t="str">
        <f t="array" ref="C13">IF(B13="","",IFERROR(INDEX(BD_PT!$A$2:$A$66,MATCH(B13,BD_PT!$B$2:$B$66,0)),""))</f>
        <v>FRES-12</v>
      </c>
      <c r="D13" s="24">
        <f t="array" ref="D13">IF(B13="","",IFERROR(INDEX(BD_PT!$C$2:$C$66,MATCH(B13,BD_PT!$B$2:$B$66,0))*IF(A13="",1,A13),""))</f>
        <v>153</v>
      </c>
      <c r="E13" s="24"/>
      <c r="F13" s="24"/>
    </row>
    <row r="14" ht="15.75" customHeight="1">
      <c r="A14" s="22">
        <v>1.0</v>
      </c>
      <c r="B14" s="22" t="s">
        <v>22</v>
      </c>
      <c r="C14" s="24" t="str">
        <f t="array" ref="C14">IF(B14="","",IFERROR(INDEX(BD_PT!$A$2:$A$66,MATCH(B14,BD_PT!$B$2:$B$66,0)),""))</f>
        <v>FRES-10</v>
      </c>
      <c r="D14" s="22">
        <v>94.98</v>
      </c>
      <c r="E14" s="22">
        <v>99.0</v>
      </c>
      <c r="F14" s="22" t="s">
        <v>147</v>
      </c>
    </row>
    <row r="15" ht="15.75" customHeight="1">
      <c r="A15" s="22">
        <v>2.0</v>
      </c>
      <c r="B15" s="22" t="s">
        <v>4</v>
      </c>
      <c r="C15" s="24" t="str">
        <f t="array" ref="C15">IF(B15="","",IFERROR(INDEX(BD_PT!$A$2:$A$66,MATCH(B15,BD_PT!$B$2:$B$66,0)),""))</f>
        <v>FRES-01</v>
      </c>
      <c r="D15" s="22">
        <v>0.0</v>
      </c>
      <c r="E15" s="22">
        <v>92.0</v>
      </c>
      <c r="F15" s="22" t="s">
        <v>212</v>
      </c>
    </row>
    <row r="16" ht="15.75" customHeight="1">
      <c r="A16" s="22">
        <v>1.0</v>
      </c>
      <c r="B16" s="22" t="s">
        <v>18</v>
      </c>
      <c r="C16" s="24" t="str">
        <f t="array" ref="C16">IF(B16="","",IFERROR(INDEX(BD_PT!$A$2:$A$66,MATCH(B16,BD_PT!$B$2:$B$66,0)),""))</f>
        <v>FRES-08</v>
      </c>
      <c r="D16" s="22">
        <v>0.0</v>
      </c>
      <c r="E16" s="22">
        <v>55.0</v>
      </c>
      <c r="F16" s="22" t="s">
        <v>212</v>
      </c>
    </row>
    <row r="17" ht="15.75" customHeight="1">
      <c r="A17" s="22">
        <v>1.0</v>
      </c>
      <c r="B17" s="22" t="s">
        <v>8</v>
      </c>
      <c r="C17" s="24" t="str">
        <f t="array" ref="C17">IF(B17="","",IFERROR(INDEX(BD_PT!$A$2:$A$66,MATCH(B17,BD_PT!$B$2:$B$66,0)),""))</f>
        <v>FRES-03</v>
      </c>
      <c r="D17" s="24">
        <f t="array" ref="D17">IF(B17="","",IFERROR(INDEX(BD_PT!$C$2:$C$66,MATCH(B17,BD_PT!$B$2:$B$66,0))*IF(A17="",1,A17),""))</f>
        <v>89</v>
      </c>
      <c r="E17" s="24"/>
      <c r="F17" s="24"/>
    </row>
    <row r="18" ht="15.75" customHeight="1">
      <c r="A18" s="22">
        <v>1.0</v>
      </c>
      <c r="B18" s="22" t="s">
        <v>6</v>
      </c>
      <c r="C18" s="24" t="str">
        <f t="array" ref="C18">IF(B18="","",IFERROR(INDEX(BD_PT!$A$2:$A$66,MATCH(B18,BD_PT!$B$2:$B$66,0)),""))</f>
        <v>FRES-02</v>
      </c>
      <c r="D18" s="24">
        <f>69*0.9567</f>
        <v>66.0123</v>
      </c>
      <c r="E18" s="22">
        <v>69.0</v>
      </c>
      <c r="F18" s="22" t="s">
        <v>147</v>
      </c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140</v>
      </c>
      <c r="I1" s="27">
        <v>1000.0</v>
      </c>
    </row>
    <row r="2" ht="15.75" customHeight="1">
      <c r="A2" s="22">
        <v>2.0</v>
      </c>
      <c r="B2" s="23" t="s">
        <v>4</v>
      </c>
      <c r="C2" s="24" t="str">
        <f t="array" ref="C2">IF(B2="","",IFERROR(INDEX(BD_PT!$A$2:$A$66,MATCH(B2,BD_PT!$B$2:$B$66,0)),""))</f>
        <v>FRES-01</v>
      </c>
      <c r="D2" s="24">
        <f t="array" ref="D2">IF(B2="","",IFERROR(INDEX(BD_PT!$C$2:$C$66,MATCH(B2,BD_PT!$B$2:$B$66,0))*IF(A2="",1,A2),""))</f>
        <v>92</v>
      </c>
      <c r="E2" s="24"/>
      <c r="F2" s="24"/>
      <c r="H2" s="27" t="s">
        <v>151</v>
      </c>
      <c r="I2" s="27">
        <v>1830.0</v>
      </c>
    </row>
    <row r="3" ht="15.75" customHeight="1">
      <c r="A3" s="22">
        <v>2.0</v>
      </c>
      <c r="B3" s="22" t="s">
        <v>58</v>
      </c>
      <c r="C3" s="24" t="str">
        <f t="array" ref="C3">IF(B3="","",IFERROR(INDEX(BD_PT!$A$2:$A$66,MATCH(B3,BD_PT!$B$2:$B$66,0)),""))</f>
        <v>POSRT-03</v>
      </c>
      <c r="D3" s="24">
        <f t="array" ref="D3">IF(B3="","",IFERROR(INDEX(BD_PT!$C$2:$C$66,MATCH(B3,BD_PT!$B$2:$B$66,0))*IF(A3="",1,A3),""))</f>
        <v>120</v>
      </c>
      <c r="E3" s="24"/>
      <c r="F3" s="24"/>
      <c r="H3" s="27" t="s">
        <v>147</v>
      </c>
      <c r="I3" s="27">
        <v>453.8</v>
      </c>
    </row>
    <row r="4" ht="15.75" customHeight="1">
      <c r="A4" s="22">
        <v>2.0</v>
      </c>
      <c r="B4" s="22" t="s">
        <v>64</v>
      </c>
      <c r="C4" s="24" t="str">
        <f t="array" ref="C4">IF(B4="","",IFERROR(INDEX(BD_PT!$A$2:$A$66,MATCH(B4,BD_PT!$B$2:$B$66,0)),""))</f>
        <v>POST-06</v>
      </c>
      <c r="D4" s="24">
        <f t="array" ref="D4">IF(B4="","",IFERROR(INDEX(BD_PT!$C$2:$C$66,MATCH(B4,BD_PT!$B$2:$B$66,0))*IF(A4="",1,A4),""))</f>
        <v>30</v>
      </c>
      <c r="E4" s="24"/>
      <c r="F4" s="24"/>
    </row>
    <row r="5" ht="15.75" customHeight="1">
      <c r="A5" s="22">
        <v>1.0</v>
      </c>
      <c r="B5" s="22" t="s">
        <v>76</v>
      </c>
      <c r="C5" s="24" t="str">
        <f t="array" ref="C5">IF(B5="","",IFERROR(INDEX(BD_PT!$A$2:$A$66,MATCH(B5,BD_PT!$B$2:$B$66,0)),""))</f>
        <v>EXTR-01</v>
      </c>
      <c r="D5" s="24">
        <f t="array" ref="D5">IF(B5="","",IFERROR(INDEX(BD_PT!$C$2:$C$66,MATCH(B5,BD_PT!$B$2:$B$66,0))*IF(A5="",1,A5),""))</f>
        <v>10</v>
      </c>
      <c r="E5" s="24"/>
      <c r="F5" s="22" t="s">
        <v>154</v>
      </c>
    </row>
    <row r="6" ht="15.75" customHeight="1">
      <c r="A6" s="22">
        <v>1.0</v>
      </c>
      <c r="B6" s="22" t="s">
        <v>76</v>
      </c>
      <c r="C6" s="24" t="str">
        <f t="array" ref="C6">IF(B6="","",IFERROR(INDEX(BD_PT!$A$2:$A$66,MATCH(B6,BD_PT!$B$2:$B$66,0)),""))</f>
        <v>EXTR-01</v>
      </c>
      <c r="D6" s="24">
        <f t="array" ref="D6">IF(B6="","",IFERROR(INDEX(BD_PT!$C$2:$C$66,MATCH(B6,BD_PT!$B$2:$B$66,0))*IF(A6="",1,A6),""))</f>
        <v>10</v>
      </c>
      <c r="E6" s="24"/>
      <c r="F6" s="22" t="s">
        <v>213</v>
      </c>
    </row>
    <row r="7" ht="15.75" customHeight="1">
      <c r="A7" s="22">
        <v>1.0</v>
      </c>
      <c r="B7" s="22" t="s">
        <v>214</v>
      </c>
      <c r="C7" s="24" t="str">
        <f t="array" ref="C7">IF(B7="","",IFERROR(INDEX(BD_PT!$A$2:$A$66,MATCH(B7,BD_PT!$B$2:$B$66,0)),""))</f>
        <v/>
      </c>
      <c r="D7" s="22">
        <v>15.0</v>
      </c>
      <c r="E7" s="24"/>
      <c r="F7" s="24"/>
    </row>
    <row r="8" ht="15.75" customHeight="1">
      <c r="A8" s="22">
        <v>2.0</v>
      </c>
      <c r="B8" s="22" t="s">
        <v>64</v>
      </c>
      <c r="C8" s="24" t="str">
        <f t="array" ref="C8">IF(B8="","",IFERROR(INDEX(BD_PT!$A$2:$A$66,MATCH(B8,BD_PT!$B$2:$B$66,0)),""))</f>
        <v>POST-06</v>
      </c>
      <c r="D8" s="24">
        <f t="array" ref="D8">IF(B8="","",IFERROR(INDEX(BD_PT!$C$2:$C$66,MATCH(B8,BD_PT!$B$2:$B$66,0))*IF(A8="",1,A8),""))</f>
        <v>30</v>
      </c>
      <c r="E8" s="24"/>
      <c r="F8" s="24"/>
    </row>
    <row r="9" ht="15.75" customHeight="1">
      <c r="A9" s="22">
        <v>1.0</v>
      </c>
      <c r="B9" s="22" t="s">
        <v>64</v>
      </c>
      <c r="C9" s="24" t="str">
        <f t="array" ref="C9">IF(B9="","",IFERROR(INDEX(BD_PT!$A$2:$A$66,MATCH(B9,BD_PT!$B$2:$B$66,0)),""))</f>
        <v>POST-06</v>
      </c>
      <c r="D9" s="24">
        <f t="array" ref="D9">IF(B9="","",IFERROR(INDEX(BD_PT!$C$2:$C$66,MATCH(B9,BD_PT!$B$2:$B$66,0))*IF(A9="",1,A9),""))</f>
        <v>15</v>
      </c>
      <c r="E9" s="24"/>
      <c r="F9" s="24"/>
    </row>
    <row r="10" ht="15.75" customHeight="1">
      <c r="A10" s="22">
        <v>1.0</v>
      </c>
      <c r="B10" s="22" t="s">
        <v>22</v>
      </c>
      <c r="C10" s="24" t="str">
        <f t="array" ref="C10">IF(B10="","",IFERROR(INDEX(BD_PT!$A$2:$A$66,MATCH(B10,BD_PT!$B$2:$B$66,0)),""))</f>
        <v>FRES-10</v>
      </c>
      <c r="D10" s="24">
        <f t="array" ref="D10">IF(B10="","",IFERROR(INDEX(BD_PT!$C$2:$C$66,MATCH(B10,BD_PT!$B$2:$B$66,0))*IF(A10="",1,A10),""))</f>
        <v>99</v>
      </c>
      <c r="E10" s="24"/>
      <c r="F10" s="24"/>
    </row>
    <row r="11" ht="15.75" customHeight="1">
      <c r="A11" s="22">
        <v>2.0</v>
      </c>
      <c r="B11" s="22" t="s">
        <v>8</v>
      </c>
      <c r="C11" s="24" t="str">
        <f t="array" ref="C11">IF(B11="","",IFERROR(INDEX(BD_PT!$A$2:$A$66,MATCH(B11,BD_PT!$B$2:$B$66,0)),""))</f>
        <v>FRES-03</v>
      </c>
      <c r="D11" s="24">
        <f t="array" ref="D11">IF(B11="","",IFERROR(INDEX(BD_PT!$C$2:$C$66,MATCH(B11,BD_PT!$B$2:$B$66,0))*IF(A11="",1,A11),""))</f>
        <v>178</v>
      </c>
      <c r="E11" s="24"/>
      <c r="F11" s="24"/>
    </row>
    <row r="12" ht="15.75" customHeight="1">
      <c r="A12" s="22">
        <v>2.0</v>
      </c>
      <c r="B12" s="22" t="s">
        <v>8</v>
      </c>
      <c r="C12" s="24" t="str">
        <f t="array" ref="C12">IF(B12="","",IFERROR(INDEX(BD_PT!$A$2:$A$66,MATCH(B12,BD_PT!$B$2:$B$66,0)),""))</f>
        <v>FRES-03</v>
      </c>
      <c r="D12" s="24">
        <f>178*0.9567</f>
        <v>170.2926</v>
      </c>
      <c r="E12" s="22">
        <v>178.0</v>
      </c>
      <c r="F12" s="22" t="s">
        <v>147</v>
      </c>
    </row>
    <row r="13" ht="15.75" customHeight="1">
      <c r="A13" s="22">
        <v>1.0</v>
      </c>
      <c r="B13" s="22" t="s">
        <v>80</v>
      </c>
      <c r="C13" s="24" t="str">
        <f t="array" ref="C13">IF(B13="","",IFERROR(INDEX(BD_PT!$A$2:$A$66,MATCH(B13,BD_PT!$B$2:$B$66,0)),""))</f>
        <v>EXTR-03</v>
      </c>
      <c r="D13" s="24">
        <f>20*0.9567</f>
        <v>19.134</v>
      </c>
      <c r="E13" s="22">
        <v>20.0</v>
      </c>
      <c r="F13" s="22" t="s">
        <v>147</v>
      </c>
    </row>
    <row r="14" ht="15.75" customHeight="1">
      <c r="A14" s="22">
        <v>3.0</v>
      </c>
      <c r="B14" s="22" t="s">
        <v>72</v>
      </c>
      <c r="C14" s="24" t="str">
        <f t="array" ref="C14">IF(B14="","",IFERROR(INDEX(BD_PT!$A$2:$A$66,MATCH(B14,BD_PT!$B$2:$B$66,0)),""))</f>
        <v>POST-10</v>
      </c>
      <c r="D14" s="24">
        <f t="shared" ref="D14:D15" si="1">60*0.9567</f>
        <v>57.402</v>
      </c>
      <c r="E14" s="22">
        <v>60.0</v>
      </c>
      <c r="F14" s="22" t="s">
        <v>147</v>
      </c>
    </row>
    <row r="15" ht="15.75" customHeight="1">
      <c r="A15" s="22">
        <v>1.0</v>
      </c>
      <c r="B15" s="22" t="s">
        <v>58</v>
      </c>
      <c r="C15" s="24" t="str">
        <f t="array" ref="C15">IF(B15="","",IFERROR(INDEX(BD_PT!$A$2:$A$66,MATCH(B15,BD_PT!$B$2:$B$66,0)),""))</f>
        <v>POSRT-03</v>
      </c>
      <c r="D15" s="24">
        <f t="shared" si="1"/>
        <v>57.402</v>
      </c>
      <c r="E15" s="22">
        <v>60.0</v>
      </c>
      <c r="F15" s="22" t="s">
        <v>147</v>
      </c>
    </row>
    <row r="16" ht="15.75" customHeight="1">
      <c r="A16" s="22">
        <v>1.0</v>
      </c>
      <c r="B16" s="22" t="s">
        <v>8</v>
      </c>
      <c r="C16" s="24" t="str">
        <f t="array" ref="C16">IF(B16="","",IFERROR(INDEX(BD_PT!$A$2:$A$66,MATCH(B16,BD_PT!$B$2:$B$66,0)),""))</f>
        <v>FRES-03</v>
      </c>
      <c r="D16" s="24">
        <f t="array" ref="D16">IF(B16="","",IFERROR(INDEX(BD_PT!$C$2:$C$66,MATCH(B16,BD_PT!$B$2:$B$66,0))*IF(A16="",1,A16),""))</f>
        <v>89</v>
      </c>
      <c r="E16" s="24"/>
      <c r="F16" s="24"/>
    </row>
    <row r="17" ht="15.75" customHeight="1">
      <c r="A17" s="22">
        <v>1.0</v>
      </c>
      <c r="B17" s="22" t="s">
        <v>4</v>
      </c>
      <c r="C17" s="24" t="str">
        <f t="array" ref="C17">IF(B17="","",IFERROR(INDEX(BD_PT!$A$2:$A$66,MATCH(B17,BD_PT!$B$2:$B$66,0)),""))</f>
        <v>FRES-01</v>
      </c>
      <c r="D17" s="24">
        <f t="array" ref="D17">IF(B17="","",IFERROR(INDEX(BD_PT!$C$2:$C$66,MATCH(B17,BD_PT!$B$2:$B$66,0))*IF(A17="",1,A17),""))</f>
        <v>46</v>
      </c>
      <c r="E17" s="24"/>
      <c r="F17" s="24"/>
    </row>
    <row r="18" ht="15.75" customHeight="1">
      <c r="A18" s="22">
        <v>1.0</v>
      </c>
      <c r="B18" s="22" t="s">
        <v>48</v>
      </c>
      <c r="C18" s="24" t="str">
        <f t="array" ref="C18">IF(B18="","",IFERROR(INDEX(BD_PT!$A$2:$A$66,MATCH(B18,BD_PT!$B$2:$B$66,0)),""))</f>
        <v>GALL-03</v>
      </c>
      <c r="D18" s="24">
        <f t="array" ref="D18">IF(B18="","",IFERROR(INDEX(BD_PT!$C$2:$C$66,MATCH(B18,BD_PT!$B$2:$B$66,0))*IF(A18="",1,A18),""))</f>
        <v>39</v>
      </c>
      <c r="E18" s="24"/>
      <c r="F18" s="24"/>
    </row>
    <row r="19" ht="15.75" customHeight="1">
      <c r="A19" s="22">
        <v>1.0</v>
      </c>
      <c r="B19" s="22" t="s">
        <v>64</v>
      </c>
      <c r="C19" s="24" t="str">
        <f t="array" ref="C19">IF(B19="","",IFERROR(INDEX(BD_PT!$A$2:$A$66,MATCH(B19,BD_PT!$B$2:$B$66,0)),""))</f>
        <v>POST-06</v>
      </c>
      <c r="D19" s="24">
        <f t="array" ref="D19">IF(B19="","",IFERROR(INDEX(BD_PT!$C$2:$C$66,MATCH(B19,BD_PT!$B$2:$B$66,0))*IF(A19="",1,A19),""))</f>
        <v>15</v>
      </c>
      <c r="E19" s="24"/>
      <c r="F19" s="24"/>
    </row>
    <row r="20" ht="15.75" customHeight="1">
      <c r="A20" s="22">
        <v>1.0</v>
      </c>
      <c r="B20" s="22" t="s">
        <v>4</v>
      </c>
      <c r="C20" s="24" t="str">
        <f t="array" ref="C20">IF(B20="","",IFERROR(INDEX(BD_PT!$A$2:$A$66,MATCH(B20,BD_PT!$B$2:$B$66,0)),""))</f>
        <v>FRES-01</v>
      </c>
      <c r="D20" s="24">
        <f t="array" ref="D20">IF(B20="","",IFERROR(INDEX(BD_PT!$C$2:$C$66,MATCH(B20,BD_PT!$B$2:$B$66,0))*IF(A20="",1,A20),""))</f>
        <v>46</v>
      </c>
      <c r="E20" s="24"/>
      <c r="F20" s="24"/>
    </row>
    <row r="21" ht="15.75" customHeight="1">
      <c r="A21" s="22">
        <v>1.0</v>
      </c>
      <c r="B21" s="22" t="s">
        <v>4</v>
      </c>
      <c r="C21" s="24" t="str">
        <f t="array" ref="C21">IF(B21="","",IFERROR(INDEX(BD_PT!$A$2:$A$66,MATCH(B21,BD_PT!$B$2:$B$66,0)),""))</f>
        <v>FRES-01</v>
      </c>
      <c r="D21" s="24">
        <f t="array" ref="D21">IF(B21="","",IFERROR(INDEX(BD_PT!$C$2:$C$66,MATCH(B21,BD_PT!$B$2:$B$66,0))*IF(A21="",1,A21),""))</f>
        <v>46</v>
      </c>
      <c r="E21" s="24"/>
      <c r="F21" s="24"/>
    </row>
    <row r="22" ht="15.75" customHeight="1">
      <c r="A22" s="22">
        <v>1.0</v>
      </c>
      <c r="B22" s="22" t="s">
        <v>8</v>
      </c>
      <c r="C22" s="24" t="str">
        <f t="array" ref="C22">IF(B22="","",IFERROR(INDEX(BD_PT!$A$2:$A$66,MATCH(B22,BD_PT!$B$2:$B$66,0)),""))</f>
        <v>FRES-03</v>
      </c>
      <c r="D22" s="24">
        <f t="array" ref="D22">IF(B22="","",IFERROR(INDEX(BD_PT!$C$2:$C$66,MATCH(B22,BD_PT!$B$2:$B$66,0))*IF(A22="",1,A22),""))</f>
        <v>89</v>
      </c>
      <c r="E22" s="24"/>
      <c r="F22" s="24"/>
    </row>
    <row r="23" ht="15.75" customHeight="1">
      <c r="A23" s="22">
        <v>1.0</v>
      </c>
      <c r="B23" s="22" t="s">
        <v>96</v>
      </c>
      <c r="C23" s="24" t="str">
        <f t="array" ref="C23">IF(B23="","",IFERROR(INDEX(BD_PT!$A$2:$A$66,MATCH(B23,BD_PT!$B$2:$B$66,0)),""))</f>
        <v>AC2.5</v>
      </c>
      <c r="D23" s="24">
        <f>155*0.9567</f>
        <v>148.2885</v>
      </c>
      <c r="E23" s="22">
        <v>155.0</v>
      </c>
      <c r="F23" s="22" t="s">
        <v>215</v>
      </c>
    </row>
    <row r="24" ht="15.75" customHeight="1">
      <c r="A24" s="22">
        <v>1.0</v>
      </c>
      <c r="B24" s="22" t="s">
        <v>131</v>
      </c>
      <c r="C24" s="24" t="str">
        <f t="array" ref="C24">IF(B24="","",IFERROR(INDEX(BD_PT!$A$2:$A$66,MATCH(B24,BD_PT!$B$2:$B$66,0)),""))</f>
        <v>PT2.5</v>
      </c>
      <c r="D24" s="22">
        <v>172.0</v>
      </c>
      <c r="E24" s="24"/>
      <c r="F24" s="22" t="s">
        <v>152</v>
      </c>
    </row>
    <row r="25" ht="15.75" customHeight="1">
      <c r="A25" s="22">
        <v>1.0</v>
      </c>
      <c r="B25" s="22" t="s">
        <v>101</v>
      </c>
      <c r="C25" s="24" t="str">
        <f t="array" ref="C25">IF(B25="","",IFERROR(INDEX(BD_PT!$A$2:$A$66,MATCH(B25,BD_PT!$B$2:$B$66,0)),""))</f>
        <v>AC3</v>
      </c>
      <c r="D25" s="22">
        <v>90.0</v>
      </c>
      <c r="E25" s="24"/>
      <c r="F25" s="22" t="s">
        <v>164</v>
      </c>
    </row>
    <row r="26" ht="15.75" customHeight="1">
      <c r="A26" s="22">
        <v>1.0</v>
      </c>
      <c r="B26" s="22" t="s">
        <v>119</v>
      </c>
      <c r="C26" s="24" t="str">
        <f t="array" ref="C26">IF(B26="","",IFERROR(INDEX(BD_PT!$A$2:$A$66,MATCH(B26,BD_PT!$B$2:$B$66,0)),""))</f>
        <v>OL2T5</v>
      </c>
      <c r="D26" s="22">
        <v>145.0</v>
      </c>
      <c r="E26" s="24"/>
      <c r="F26" s="22" t="s">
        <v>148</v>
      </c>
    </row>
    <row r="27" ht="15.75" customHeight="1">
      <c r="A27" s="22">
        <v>3.0</v>
      </c>
      <c r="B27" s="22" t="s">
        <v>4</v>
      </c>
      <c r="C27" s="24" t="str">
        <f t="array" ref="C27">IF(B27="","",IFERROR(INDEX(BD_PT!$A$2:$A$66,MATCH(B27,BD_PT!$B$2:$B$66,0)),""))</f>
        <v>FRES-01</v>
      </c>
      <c r="D27" s="24">
        <f t="array" ref="D27">IF(B27="","",IFERROR(INDEX(BD_PT!$C$2:$C$66,MATCH(B27,BD_PT!$B$2:$B$66,0))*IF(A27="",1,A27),""))</f>
        <v>138</v>
      </c>
      <c r="E27" s="24"/>
      <c r="F27" s="24"/>
    </row>
    <row r="28" ht="15.75" customHeight="1">
      <c r="A28" s="22">
        <v>1.0</v>
      </c>
      <c r="B28" s="22" t="s">
        <v>4</v>
      </c>
      <c r="C28" s="24" t="str">
        <f t="array" ref="C28">IF(B28="","",IFERROR(INDEX(BD_PT!$A$2:$A$66,MATCH(B28,BD_PT!$B$2:$B$66,0)),""))</f>
        <v>FRES-01</v>
      </c>
      <c r="D28" s="24">
        <f t="array" ref="D28">IF(B28="","",IFERROR(INDEX(BD_PT!$C$2:$C$66,MATCH(B28,BD_PT!$B$2:$B$66,0))*IF(A28="",1,A28),""))</f>
        <v>46</v>
      </c>
      <c r="E28" s="24"/>
      <c r="F28" s="24"/>
    </row>
    <row r="29" ht="15.75" customHeight="1">
      <c r="A29" s="22">
        <v>1.0</v>
      </c>
      <c r="B29" s="22" t="s">
        <v>4</v>
      </c>
      <c r="C29" s="24" t="str">
        <f t="array" ref="C29">IF(B29="","",IFERROR(INDEX(BD_PT!$A$2:$A$66,MATCH(B29,BD_PT!$B$2:$B$66,0)),""))</f>
        <v>FRES-01</v>
      </c>
      <c r="D29" s="24">
        <f t="array" ref="D29">IF(B29="","",IFERROR(INDEX(BD_PT!$C$2:$C$66,MATCH(B29,BD_PT!$B$2:$B$66,0))*IF(A29="",1,A29),""))</f>
        <v>46</v>
      </c>
      <c r="E29" s="24"/>
      <c r="F29" s="24"/>
    </row>
    <row r="30" ht="15.75" customHeight="1">
      <c r="A30" s="22">
        <v>1.0</v>
      </c>
      <c r="B30" s="22" t="s">
        <v>58</v>
      </c>
      <c r="C30" s="24" t="str">
        <f t="array" ref="C30">IF(B30="","",IFERROR(INDEX(BD_PT!$A$2:$A$66,MATCH(B30,BD_PT!$B$2:$B$66,0)),""))</f>
        <v>POSRT-03</v>
      </c>
      <c r="D30" s="24">
        <f t="array" ref="D30">IF(B30="","",IFERROR(INDEX(BD_PT!$C$2:$C$66,MATCH(B30,BD_PT!$B$2:$B$66,0))*IF(A30="",1,A30),""))</f>
        <v>60</v>
      </c>
      <c r="E30" s="24"/>
      <c r="F30" s="24"/>
    </row>
    <row r="31" ht="15.75" customHeight="1">
      <c r="A31" s="22">
        <v>1.0</v>
      </c>
      <c r="B31" s="22" t="s">
        <v>58</v>
      </c>
      <c r="C31" s="24" t="str">
        <f t="array" ref="C31">IF(B31="","",IFERROR(INDEX(BD_PT!$A$2:$A$66,MATCH(B31,BD_PT!$B$2:$B$66,0)),""))</f>
        <v>POSRT-03</v>
      </c>
      <c r="D31" s="24">
        <f t="array" ref="D31">IF(B31="","",IFERROR(INDEX(BD_PT!$C$2:$C$66,MATCH(B31,BD_PT!$B$2:$B$66,0))*IF(A31="",1,A31),""))</f>
        <v>60</v>
      </c>
      <c r="E31" s="24"/>
      <c r="F31" s="24"/>
    </row>
    <row r="32" ht="15.75" customHeight="1">
      <c r="A32" s="22">
        <v>1.0</v>
      </c>
      <c r="B32" s="22" t="s">
        <v>58</v>
      </c>
      <c r="C32" s="24" t="str">
        <f t="array" ref="C32">IF(B32="","",IFERROR(INDEX(BD_PT!$A$2:$A$66,MATCH(B32,BD_PT!$B$2:$B$66,0)),""))</f>
        <v>POSRT-03</v>
      </c>
      <c r="D32" s="24">
        <f t="array" ref="D32">IF(B32="","",IFERROR(INDEX(BD_PT!$C$2:$C$66,MATCH(B32,BD_PT!$B$2:$B$66,0))*IF(A32="",1,A32),""))</f>
        <v>60</v>
      </c>
      <c r="E32" s="24"/>
      <c r="F32" s="24"/>
    </row>
    <row r="33" ht="15.75" customHeight="1">
      <c r="A33" s="22">
        <v>1.0</v>
      </c>
      <c r="B33" s="22" t="s">
        <v>4</v>
      </c>
      <c r="C33" s="24" t="str">
        <f t="array" ref="C33">IF(B33="","",IFERROR(INDEX(BD_PT!$A$2:$A$66,MATCH(B33,BD_PT!$B$2:$B$66,0)),""))</f>
        <v>FRES-01</v>
      </c>
      <c r="D33" s="24">
        <f t="array" ref="D33">IF(B33="","",IFERROR(INDEX(BD_PT!$C$2:$C$66,MATCH(B33,BD_PT!$B$2:$B$66,0))*IF(A33="",1,A33),""))</f>
        <v>46</v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192</v>
      </c>
      <c r="I1" s="27">
        <v>1000.0</v>
      </c>
    </row>
    <row r="2" ht="15.75" customHeight="1">
      <c r="A2" s="22">
        <v>2.0</v>
      </c>
      <c r="B2" s="23" t="s">
        <v>64</v>
      </c>
      <c r="C2" s="24" t="str">
        <f t="array" ref="C2">IF(B2="","",IFERROR(INDEX(BD_PT!$A$2:$A$66,MATCH(B2,BD_PT!$B$2:$B$66,0)),""))</f>
        <v>POST-06</v>
      </c>
      <c r="D2" s="24">
        <f t="array" ref="D2">IF(B2="","",IFERROR(INDEX(BD_PT!$C$2:$C$66,MATCH(B2,BD_PT!$B$2:$B$66,0))*IF(A2="",1,A2),""))</f>
        <v>30</v>
      </c>
      <c r="E2" s="24"/>
      <c r="F2" s="24"/>
      <c r="H2" s="27" t="s">
        <v>151</v>
      </c>
      <c r="I2" s="27">
        <v>847.0</v>
      </c>
    </row>
    <row r="3" ht="15.75" customHeight="1">
      <c r="A3" s="22">
        <v>1.0</v>
      </c>
      <c r="B3" s="22" t="s">
        <v>8</v>
      </c>
      <c r="C3" s="24" t="str">
        <f t="array" ref="C3">IF(B3="","",IFERROR(INDEX(BD_PT!$A$2:$A$66,MATCH(B3,BD_PT!$B$2:$B$66,0)),""))</f>
        <v>FRES-03</v>
      </c>
      <c r="D3" s="24">
        <f t="array" ref="D3">IF(B3="","",IFERROR(INDEX(BD_PT!$C$2:$C$66,MATCH(B3,BD_PT!$B$2:$B$66,0))*IF(A3="",1,A3),""))</f>
        <v>89</v>
      </c>
      <c r="E3" s="24"/>
      <c r="F3" s="24"/>
      <c r="H3" s="27" t="s">
        <v>147</v>
      </c>
      <c r="I3" s="27">
        <v>0.0</v>
      </c>
    </row>
    <row r="4" ht="15.75" customHeight="1">
      <c r="A4" s="22">
        <v>1.0</v>
      </c>
      <c r="B4" s="22" t="s">
        <v>8</v>
      </c>
      <c r="C4" s="24" t="str">
        <f t="array" ref="C4">IF(B4="","",IFERROR(INDEX(BD_PT!$A$2:$A$66,MATCH(B4,BD_PT!$B$2:$B$66,0)),""))</f>
        <v>FRES-03</v>
      </c>
      <c r="D4" s="24">
        <f t="array" ref="D4">IF(B4="","",IFERROR(INDEX(BD_PT!$C$2:$C$66,MATCH(B4,BD_PT!$B$2:$B$66,0))*IF(A4="",1,A4),""))</f>
        <v>89</v>
      </c>
      <c r="E4" s="24"/>
      <c r="F4" s="24"/>
    </row>
    <row r="5" ht="15.75" customHeight="1">
      <c r="A5" s="22">
        <v>1.0</v>
      </c>
      <c r="B5" s="22" t="s">
        <v>40</v>
      </c>
      <c r="C5" s="24" t="str">
        <f t="array" ref="C5">IF(B5="","",IFERROR(INDEX(BD_PT!$A$2:$A$66,MATCH(B5,BD_PT!$B$2:$B$66,0)),""))</f>
        <v>FRES-19</v>
      </c>
      <c r="D5" s="24">
        <f t="array" ref="D5">IF(B5="","",IFERROR(INDEX(BD_PT!$C$2:$C$66,MATCH(B5,BD_PT!$B$2:$B$66,0))*IF(A5="",1,A5),""))</f>
        <v>145</v>
      </c>
      <c r="E5" s="24"/>
      <c r="F5" s="24"/>
    </row>
    <row r="6" ht="15.75" customHeight="1">
      <c r="A6" s="22">
        <v>1.0</v>
      </c>
      <c r="B6" s="22" t="s">
        <v>6</v>
      </c>
      <c r="C6" s="24" t="str">
        <f t="array" ref="C6">IF(B6="","",IFERROR(INDEX(BD_PT!$A$2:$A$66,MATCH(B6,BD_PT!$B$2:$B$66,0)),""))</f>
        <v>FRES-02</v>
      </c>
      <c r="D6" s="24">
        <f t="array" ref="D6">IF(B6="","",IFERROR(INDEX(BD_PT!$C$2:$C$66,MATCH(B6,BD_PT!$B$2:$B$66,0))*IF(A6="",1,A6),""))</f>
        <v>69</v>
      </c>
      <c r="E6" s="24"/>
      <c r="F6" s="24"/>
    </row>
    <row r="7" ht="15.75" customHeight="1">
      <c r="A7" s="22">
        <v>1.0</v>
      </c>
      <c r="B7" s="22" t="s">
        <v>56</v>
      </c>
      <c r="C7" s="24" t="str">
        <f t="array" ref="C7">IF(B7="","",IFERROR(INDEX(BD_PT!$A$2:$A$66,MATCH(B7,BD_PT!$B$2:$B$66,0)),""))</f>
        <v>POST-02</v>
      </c>
      <c r="D7" s="22">
        <v>44.0</v>
      </c>
      <c r="E7" s="22">
        <v>55.0</v>
      </c>
      <c r="F7" s="22" t="s">
        <v>216</v>
      </c>
    </row>
    <row r="8" ht="15.75" customHeight="1">
      <c r="A8" s="22">
        <v>2.0</v>
      </c>
      <c r="B8" s="22" t="s">
        <v>94</v>
      </c>
      <c r="C8" s="24" t="str">
        <f t="array" ref="C8">IF(B8="","",IFERROR(INDEX(BD_PT!$A$2:$A$66,MATCH(B8,BD_PT!$B$2:$B$66,0)),""))</f>
        <v>TOPP-15MAZ</v>
      </c>
      <c r="D8" s="24">
        <f t="array" ref="D8">IF(B8="","",IFERROR(INDEX(BD_PT!$C$2:$C$66,MATCH(B8,BD_PT!$B$2:$B$66,0))*IF(A8="",1,A8),""))</f>
        <v>10</v>
      </c>
      <c r="E8" s="24"/>
      <c r="F8" s="24"/>
    </row>
    <row r="9" ht="15.75" customHeight="1">
      <c r="A9" s="22">
        <v>1.0</v>
      </c>
      <c r="B9" s="22" t="s">
        <v>6</v>
      </c>
      <c r="C9" s="24" t="str">
        <f t="array" ref="C9">IF(B9="","",IFERROR(INDEX(BD_PT!$A$2:$A$66,MATCH(B9,BD_PT!$B$2:$B$66,0)),""))</f>
        <v>FRES-02</v>
      </c>
      <c r="D9" s="24">
        <f t="array" ref="D9">IF(B9="","",IFERROR(INDEX(BD_PT!$C$2:$C$66,MATCH(B9,BD_PT!$B$2:$B$66,0))*IF(A9="",1,A9),""))</f>
        <v>69</v>
      </c>
      <c r="E9" s="24"/>
      <c r="F9" s="24"/>
    </row>
    <row r="10" ht="15.75" customHeight="1">
      <c r="A10" s="22">
        <v>1.0</v>
      </c>
      <c r="B10" s="22" t="s">
        <v>99</v>
      </c>
      <c r="C10" s="24" t="str">
        <f t="array" ref="C10">IF(B10="","",IFERROR(INDEX(BD_PT!$A$2:$A$66,MATCH(B10,BD_PT!$B$2:$B$66,0)),""))</f>
        <v>AC2T5</v>
      </c>
      <c r="D10" s="22">
        <v>145.0</v>
      </c>
      <c r="E10" s="24"/>
      <c r="F10" s="22" t="s">
        <v>217</v>
      </c>
    </row>
    <row r="11" ht="15.75" customHeight="1">
      <c r="A11" s="22">
        <v>1.0</v>
      </c>
      <c r="B11" s="22" t="s">
        <v>218</v>
      </c>
      <c r="C11" s="24" t="str">
        <f t="array" ref="C11">IF(B11="","",IFERROR(INDEX(BD_PT!$A$2:$A$66,MATCH(B11,BD_PT!$B$2:$B$66,0)),""))</f>
        <v/>
      </c>
      <c r="D11" s="22">
        <v>0.0</v>
      </c>
      <c r="E11" s="24"/>
      <c r="F11" s="22" t="s">
        <v>219</v>
      </c>
    </row>
    <row r="12" ht="15.75" customHeight="1">
      <c r="A12" s="22">
        <v>1.0</v>
      </c>
      <c r="B12" s="22" t="s">
        <v>6</v>
      </c>
      <c r="C12" s="24" t="str">
        <f t="array" ref="C12">IF(B12="","",IFERROR(INDEX(BD_PT!$A$2:$A$66,MATCH(B12,BD_PT!$B$2:$B$66,0)),""))</f>
        <v>FRES-02</v>
      </c>
      <c r="D12" s="24">
        <f t="array" ref="D12">IF(B12="","",IFERROR(INDEX(BD_PT!$C$2:$C$66,MATCH(B12,BD_PT!$B$2:$B$66,0))*IF(A12="",1,A12),""))</f>
        <v>69</v>
      </c>
      <c r="E12" s="24"/>
      <c r="F12" s="24"/>
    </row>
    <row r="13" ht="15.75" customHeight="1">
      <c r="A13" s="22">
        <v>1.0</v>
      </c>
      <c r="B13" s="22" t="s">
        <v>80</v>
      </c>
      <c r="C13" s="24" t="str">
        <f t="array" ref="C13">IF(B13="","",IFERROR(INDEX(BD_PT!$A$2:$A$66,MATCH(B13,BD_PT!$B$2:$B$66,0)),""))</f>
        <v>EXTR-03</v>
      </c>
      <c r="D13" s="24">
        <f t="array" ref="D13">IF(B13="","",IFERROR(INDEX(BD_PT!$C$2:$C$66,MATCH(B13,BD_PT!$B$2:$B$66,0))*IF(A13="",1,A13),""))</f>
        <v>20</v>
      </c>
      <c r="E13" s="24"/>
      <c r="F13" s="24"/>
    </row>
    <row r="14" ht="15.75" customHeight="1">
      <c r="A14" s="22">
        <v>1.0</v>
      </c>
      <c r="B14" s="22" t="s">
        <v>6</v>
      </c>
      <c r="C14" s="24" t="str">
        <f t="array" ref="C14">IF(B14="","",IFERROR(INDEX(BD_PT!$A$2:$A$66,MATCH(B14,BD_PT!$B$2:$B$66,0)),""))</f>
        <v>FRES-02</v>
      </c>
      <c r="D14" s="24">
        <f t="array" ref="D14">IF(B14="","",IFERROR(INDEX(BD_PT!$C$2:$C$66,MATCH(B14,BD_PT!$B$2:$B$66,0))*IF(A14="",1,A14),""))</f>
        <v>69</v>
      </c>
      <c r="E14" s="24"/>
      <c r="F14" s="24"/>
    </row>
    <row r="15" ht="15.75" customHeight="1">
      <c r="A15" s="24"/>
      <c r="B15" s="24"/>
      <c r="C15" s="24" t="str">
        <f t="array" ref="C15">IF(B15="","",IFERROR(INDEX(BD_PT!$A$2:$A$66,MATCH(B15,BD_PT!$B$2:$B$66,0)),""))</f>
        <v/>
      </c>
      <c r="D15" s="24" t="str">
        <f t="array" ref="D15">IF(B15="","",IFERROR(INDEX(BD_PT!$C$2:$C$66,MATCH(B15,BD_PT!$B$2:$B$66,0))*IF(A15="",1,A15),""))</f>
        <v/>
      </c>
      <c r="E15" s="24"/>
      <c r="F15" s="24"/>
    </row>
    <row r="16" ht="15.75" customHeight="1">
      <c r="A16" s="24"/>
      <c r="B16" s="24"/>
      <c r="C16" s="24" t="str">
        <f t="array" ref="C16">IF(B16="","",IFERROR(INDEX(BD_PT!$A$2:$A$66,MATCH(B16,BD_PT!$B$2:$B$66,0)),""))</f>
        <v/>
      </c>
      <c r="D16" s="24" t="str">
        <f t="array" ref="D16">IF(B16="","",IFERROR(INDEX(BD_PT!$C$2:$C$66,MATCH(B16,BD_PT!$B$2:$B$66,0))*IF(A16="",1,A16),""))</f>
        <v/>
      </c>
      <c r="E16" s="24"/>
      <c r="F16" s="24"/>
    </row>
    <row r="17" ht="15.75" customHeight="1">
      <c r="A17" s="24"/>
      <c r="B17" s="24"/>
      <c r="C17" s="24" t="str">
        <f t="array" ref="C17">IF(B17="","",IFERROR(INDEX(BD_PT!$A$2:$A$66,MATCH(B17,BD_PT!$B$2:$B$66,0)),""))</f>
        <v/>
      </c>
      <c r="D17" s="24" t="str">
        <f t="array" ref="D17">IF(B17="","",IFERROR(INDEX(BD_PT!$C$2:$C$66,MATCH(B17,BD_PT!$B$2:$B$66,0))*IF(A17="",1,A17),""))</f>
        <v/>
      </c>
      <c r="E17" s="24"/>
      <c r="F17" s="24"/>
    </row>
    <row r="18" ht="15.75" customHeight="1">
      <c r="A18" s="24"/>
      <c r="B18" s="24"/>
      <c r="C18" s="24" t="str">
        <f t="array" ref="C18">IF(B18="","",IFERROR(INDEX(BD_PT!$A$2:$A$66,MATCH(B18,BD_PT!$B$2:$B$66,0)),""))</f>
        <v/>
      </c>
      <c r="D18" s="24" t="str">
        <f t="array" ref="D18">IF(B18="","",IFERROR(INDEX(BD_PT!$C$2:$C$66,MATCH(B18,BD_PT!$B$2:$B$66,0))*IF(A18="",1,A18),""))</f>
        <v/>
      </c>
      <c r="E18" s="24"/>
      <c r="F18" s="24"/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2" max="2" width="34.25"/>
    <col customWidth="1" min="3" max="3" width="14.13"/>
    <col customWidth="1" min="6" max="6" width="17.0"/>
  </cols>
  <sheetData>
    <row r="1" ht="15.7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H1" s="27" t="s">
        <v>192</v>
      </c>
      <c r="I1" s="27">
        <v>1000.0</v>
      </c>
    </row>
    <row r="2" ht="15.75" customHeight="1">
      <c r="A2" s="22">
        <v>1.0</v>
      </c>
      <c r="B2" s="23" t="s">
        <v>72</v>
      </c>
      <c r="C2" s="24" t="str">
        <f t="array" ref="C2">IF(B2="","",IFERROR(INDEX(BD_PT!$A$2:$A$66,MATCH(B2,BD_PT!$B$2:$B$66,0)),""))</f>
        <v>POST-10</v>
      </c>
      <c r="D2" s="24">
        <f t="array" ref="D2">IF(B2="","",IFERROR(INDEX(BD_PT!$C$2:$C$66,MATCH(B2,BD_PT!$B$2:$B$66,0))*IF(A2="",1,A2),""))</f>
        <v>20</v>
      </c>
      <c r="E2" s="24"/>
      <c r="F2" s="24"/>
      <c r="H2" s="27" t="s">
        <v>151</v>
      </c>
      <c r="I2" s="27">
        <v>445.0</v>
      </c>
    </row>
    <row r="3" ht="15.75" customHeight="1">
      <c r="A3" s="22">
        <v>1.0</v>
      </c>
      <c r="B3" s="22" t="s">
        <v>72</v>
      </c>
      <c r="C3" s="24" t="str">
        <f t="array" ref="C3">IF(B3="","",IFERROR(INDEX(BD_PT!$A$2:$A$66,MATCH(B3,BD_PT!$B$2:$B$66,0)),""))</f>
        <v>POST-10</v>
      </c>
      <c r="D3" s="22">
        <v>15.0</v>
      </c>
      <c r="E3" s="24"/>
      <c r="F3" s="22" t="s">
        <v>220</v>
      </c>
      <c r="H3" s="27" t="s">
        <v>147</v>
      </c>
      <c r="I3" s="27">
        <v>0.0</v>
      </c>
    </row>
    <row r="4" ht="15.75" customHeight="1">
      <c r="A4" s="22">
        <v>1.0</v>
      </c>
      <c r="B4" s="22" t="s">
        <v>4</v>
      </c>
      <c r="C4" s="24" t="str">
        <f t="array" ref="C4">IF(B4="","",IFERROR(INDEX(BD_PT!$A$2:$A$66,MATCH(B4,BD_PT!$B$2:$B$66,0)),""))</f>
        <v>FRES-01</v>
      </c>
      <c r="D4" s="24">
        <f t="array" ref="D4">IF(B4="","",IFERROR(INDEX(BD_PT!$C$2:$C$66,MATCH(B4,BD_PT!$B$2:$B$66,0))*IF(A4="",1,A4),""))</f>
        <v>46</v>
      </c>
      <c r="E4" s="24"/>
      <c r="F4" s="24"/>
    </row>
    <row r="5" ht="15.75" customHeight="1">
      <c r="A5" s="22">
        <v>1.0</v>
      </c>
      <c r="B5" s="22" t="s">
        <v>4</v>
      </c>
      <c r="C5" s="24" t="str">
        <f t="array" ref="C5">IF(B5="","",IFERROR(INDEX(BD_PT!$A$2:$A$66,MATCH(B5,BD_PT!$B$2:$B$66,0)),""))</f>
        <v>FRES-01</v>
      </c>
      <c r="D5" s="24">
        <f t="array" ref="D5">IF(B5="","",IFERROR(INDEX(BD_PT!$C$2:$C$66,MATCH(B5,BD_PT!$B$2:$B$66,0))*IF(A5="",1,A5),""))</f>
        <v>46</v>
      </c>
      <c r="E5" s="24"/>
      <c r="F5" s="24"/>
    </row>
    <row r="6" ht="15.75" customHeight="1">
      <c r="A6" s="22">
        <v>1.0</v>
      </c>
      <c r="B6" s="22" t="s">
        <v>78</v>
      </c>
      <c r="C6" s="24" t="str">
        <f t="array" ref="C6">IF(B6="","",IFERROR(INDEX(BD_PT!$A$2:$A$66,MATCH(B6,BD_PT!$B$2:$B$66,0)),""))</f>
        <v>EXTR-02</v>
      </c>
      <c r="D6" s="24">
        <f t="array" ref="D6">IF(B6="","",IFERROR(INDEX(BD_PT!$C$2:$C$66,MATCH(B6,BD_PT!$B$2:$B$66,0))*IF(A6="",1,A6),""))</f>
        <v>10</v>
      </c>
      <c r="E6" s="24"/>
      <c r="F6" s="24"/>
    </row>
    <row r="7" ht="15.75" customHeight="1">
      <c r="A7" s="22">
        <v>1.0</v>
      </c>
      <c r="B7" s="22" t="s">
        <v>50</v>
      </c>
      <c r="C7" s="24" t="str">
        <f t="array" ref="C7">IF(B7="","",IFERROR(INDEX(BD_PT!$A$2:$A$66,MATCH(B7,BD_PT!$B$2:$B$66,0)),""))</f>
        <v>GALL-04</v>
      </c>
      <c r="D7" s="24">
        <f t="array" ref="D7">IF(B7="","",IFERROR(INDEX(BD_PT!$C$2:$C$66,MATCH(B7,BD_PT!$B$2:$B$66,0))*IF(A7="",1,A7),""))</f>
        <v>39</v>
      </c>
      <c r="E7" s="24"/>
      <c r="F7" s="24"/>
    </row>
    <row r="8" ht="15.75" customHeight="1">
      <c r="A8" s="22">
        <v>1.0</v>
      </c>
      <c r="B8" s="22" t="s">
        <v>48</v>
      </c>
      <c r="C8" s="24" t="str">
        <f t="array" ref="C8">IF(B8="","",IFERROR(INDEX(BD_PT!$A$2:$A$66,MATCH(B8,BD_PT!$B$2:$B$66,0)),""))</f>
        <v>GALL-03</v>
      </c>
      <c r="D8" s="24">
        <f t="array" ref="D8">IF(B8="","",IFERROR(INDEX(BD_PT!$C$2:$C$66,MATCH(B8,BD_PT!$B$2:$B$66,0))*IF(A8="",1,A8),""))</f>
        <v>39</v>
      </c>
      <c r="E8" s="24"/>
      <c r="F8" s="24"/>
    </row>
    <row r="9" ht="15.75" customHeight="1">
      <c r="A9" s="22">
        <v>1.0</v>
      </c>
      <c r="B9" s="22" t="s">
        <v>6</v>
      </c>
      <c r="C9" s="24" t="str">
        <f t="array" ref="C9">IF(B9="","",IFERROR(INDEX(BD_PT!$A$2:$A$66,MATCH(B9,BD_PT!$B$2:$B$66,0)),""))</f>
        <v>FRES-02</v>
      </c>
      <c r="D9" s="24">
        <f t="array" ref="D9">IF(B9="","",IFERROR(INDEX(BD_PT!$C$2:$C$66,MATCH(B9,BD_PT!$B$2:$B$66,0))*IF(A9="",1,A9),""))</f>
        <v>69</v>
      </c>
      <c r="E9" s="24"/>
      <c r="F9" s="24"/>
    </row>
    <row r="10" ht="15.75" customHeight="1">
      <c r="A10" s="22">
        <v>1.0</v>
      </c>
      <c r="B10" s="22" t="s">
        <v>6</v>
      </c>
      <c r="C10" s="24" t="str">
        <f t="array" ref="C10">IF(B10="","",IFERROR(INDEX(BD_PT!$A$2:$A$66,MATCH(B10,BD_PT!$B$2:$B$66,0)),""))</f>
        <v>FRES-02</v>
      </c>
      <c r="D10" s="24">
        <f t="array" ref="D10">IF(B10="","",IFERROR(INDEX(BD_PT!$C$2:$C$66,MATCH(B10,BD_PT!$B$2:$B$66,0))*IF(A10="",1,A10),""))</f>
        <v>69</v>
      </c>
      <c r="E10" s="24"/>
      <c r="F10" s="24"/>
    </row>
    <row r="11" ht="15.75" customHeight="1">
      <c r="A11" s="22">
        <v>1.0</v>
      </c>
      <c r="B11" s="22" t="s">
        <v>4</v>
      </c>
      <c r="C11" s="24" t="str">
        <f t="array" ref="C11">IF(B11="","",IFERROR(INDEX(BD_PT!$A$2:$A$66,MATCH(B11,BD_PT!$B$2:$B$66,0)),""))</f>
        <v>FRES-01</v>
      </c>
      <c r="D11" s="24">
        <f t="array" ref="D11">IF(B11="","",IFERROR(INDEX(BD_PT!$C$2:$C$66,MATCH(B11,BD_PT!$B$2:$B$66,0))*IF(A11="",1,A11),""))</f>
        <v>46</v>
      </c>
      <c r="E11" s="24"/>
      <c r="F11" s="24"/>
    </row>
    <row r="12" ht="15.75" customHeight="1">
      <c r="A12" s="22">
        <v>1.0</v>
      </c>
      <c r="B12" s="22" t="s">
        <v>4</v>
      </c>
      <c r="C12" s="24" t="str">
        <f t="array" ref="C12">IF(B12="","",IFERROR(INDEX(BD_PT!$A$2:$A$66,MATCH(B12,BD_PT!$B$2:$B$66,0)),""))</f>
        <v>FRES-01</v>
      </c>
      <c r="D12" s="24">
        <f t="array" ref="D12">IF(B12="","",IFERROR(INDEX(BD_PT!$C$2:$C$66,MATCH(B12,BD_PT!$B$2:$B$66,0))*IF(A12="",1,A12),""))</f>
        <v>46</v>
      </c>
      <c r="E12" s="24"/>
      <c r="F12" s="24"/>
    </row>
    <row r="13" ht="15.75" customHeight="1">
      <c r="A13" s="24"/>
      <c r="B13" s="24"/>
      <c r="C13" s="24" t="str">
        <f t="array" ref="C13">IF(B13="","",IFERROR(INDEX(BD_PT!$A$2:$A$66,MATCH(B13,BD_PT!$B$2:$B$66,0)),""))</f>
        <v/>
      </c>
      <c r="D13" s="24" t="str">
        <f t="array" ref="D13">IF(B13="","",IFERROR(INDEX(BD_PT!$C$2:$C$66,MATCH(B13,BD_PT!$B$2:$B$66,0))*IF(A13="",1,A13),""))</f>
        <v/>
      </c>
      <c r="E13" s="24"/>
      <c r="F13" s="24"/>
    </row>
    <row r="14" ht="15.75" customHeight="1">
      <c r="A14" s="24"/>
      <c r="B14" s="24"/>
      <c r="C14" s="24" t="str">
        <f t="array" ref="C14">IF(B14="","",IFERROR(INDEX(BD_PT!$A$2:$A$66,MATCH(B14,BD_PT!$B$2:$B$66,0)),""))</f>
        <v/>
      </c>
      <c r="D14" s="24" t="str">
        <f t="array" ref="D14">IF(B14="","",IFERROR(INDEX(BD_PT!$C$2:$C$66,MATCH(B14,BD_PT!$B$2:$B$66,0))*IF(A14="",1,A14),""))</f>
        <v/>
      </c>
      <c r="E14" s="24"/>
      <c r="F14" s="24"/>
    </row>
    <row r="15" ht="15.75" customHeight="1">
      <c r="A15" s="24"/>
      <c r="B15" s="24"/>
      <c r="C15" s="24" t="str">
        <f t="array" ref="C15">IF(B15="","",IFERROR(INDEX(BD_PT!$A$2:$A$66,MATCH(B15,BD_PT!$B$2:$B$66,0)),""))</f>
        <v/>
      </c>
      <c r="D15" s="24" t="str">
        <f t="array" ref="D15">IF(B15="","",IFERROR(INDEX(BD_PT!$C$2:$C$66,MATCH(B15,BD_PT!$B$2:$B$66,0))*IF(A15="",1,A15),""))</f>
        <v/>
      </c>
      <c r="E15" s="24"/>
      <c r="F15" s="24"/>
    </row>
    <row r="16" ht="15.75" customHeight="1">
      <c r="A16" s="24"/>
      <c r="B16" s="24"/>
      <c r="C16" s="24" t="str">
        <f t="array" ref="C16">IF(B16="","",IFERROR(INDEX(BD_PT!$A$2:$A$66,MATCH(B16,BD_PT!$B$2:$B$66,0)),""))</f>
        <v/>
      </c>
      <c r="D16" s="24" t="str">
        <f t="array" ref="D16">IF(B16="","",IFERROR(INDEX(BD_PT!$C$2:$C$66,MATCH(B16,BD_PT!$B$2:$B$66,0))*IF(A16="",1,A16),""))</f>
        <v/>
      </c>
      <c r="E16" s="24"/>
      <c r="F16" s="24"/>
    </row>
    <row r="17" ht="15.75" customHeight="1">
      <c r="A17" s="24"/>
      <c r="B17" s="24"/>
      <c r="C17" s="24" t="str">
        <f t="array" ref="C17">IF(B17="","",IFERROR(INDEX(BD_PT!$A$2:$A$66,MATCH(B17,BD_PT!$B$2:$B$66,0)),""))</f>
        <v/>
      </c>
      <c r="D17" s="24" t="str">
        <f t="array" ref="D17">IF(B17="","",IFERROR(INDEX(BD_PT!$C$2:$C$66,MATCH(B17,BD_PT!$B$2:$B$66,0))*IF(A17="",1,A17),""))</f>
        <v/>
      </c>
      <c r="E17" s="24"/>
      <c r="F17" s="24"/>
    </row>
    <row r="18" ht="15.75" customHeight="1">
      <c r="A18" s="24"/>
      <c r="B18" s="24"/>
      <c r="C18" s="24" t="str">
        <f t="array" ref="C18">IF(B18="","",IFERROR(INDEX(BD_PT!$A$2:$A$66,MATCH(B18,BD_PT!$B$2:$B$66,0)),""))</f>
        <v/>
      </c>
      <c r="D18" s="24" t="str">
        <f t="array" ref="D18">IF(B18="","",IFERROR(INDEX(BD_PT!$C$2:$C$66,MATCH(B18,BD_PT!$B$2:$B$66,0))*IF(A18="",1,A18),""))</f>
        <v/>
      </c>
      <c r="E18" s="24"/>
      <c r="F18" s="24"/>
    </row>
    <row r="19" ht="15.75" customHeight="1">
      <c r="A19" s="2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2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2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2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2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2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2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2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2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2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2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2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2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2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2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2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2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2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2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2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2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2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2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2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2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2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2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2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2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2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2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2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2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2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2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2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2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2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2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2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2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2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2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2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2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2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2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2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2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2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2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2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2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2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2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2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2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2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2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2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2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2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2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2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2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2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2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2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2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2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2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2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2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2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2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2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2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2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6.0"/>
    <col customWidth="1" min="2" max="2" width="34.25"/>
    <col customWidth="1" min="3" max="3" width="14.13"/>
    <col customWidth="1" min="4" max="4" width="8.75"/>
    <col customWidth="1" min="5" max="5" width="7.88"/>
    <col customWidth="1" min="6" max="6" width="15.25"/>
    <col customWidth="1" min="7" max="7" width="4.13"/>
  </cols>
  <sheetData>
    <row r="1" ht="28.5" customHeight="1">
      <c r="A1" s="18" t="s">
        <v>134</v>
      </c>
      <c r="B1" s="18" t="s">
        <v>135</v>
      </c>
      <c r="C1" s="18" t="s">
        <v>136</v>
      </c>
      <c r="D1" s="18" t="s">
        <v>137</v>
      </c>
      <c r="E1" s="18" t="s">
        <v>138</v>
      </c>
      <c r="F1" s="19" t="s">
        <v>139</v>
      </c>
      <c r="G1" s="31"/>
      <c r="H1" s="32" t="s">
        <v>192</v>
      </c>
      <c r="I1" s="32">
        <v>1000.0</v>
      </c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ht="15.75" customHeight="1">
      <c r="A2" s="33">
        <v>1.0</v>
      </c>
      <c r="B2" s="23" t="s">
        <v>16</v>
      </c>
      <c r="C2" s="24" t="str">
        <f t="array" ref="C2">IF(B2="","",IFERROR(INDEX(BD_PT!$A$2:$A$66,MATCH(B2,BD_PT!$B$2:$B$66,0)),""))</f>
        <v>FRES-07</v>
      </c>
      <c r="D2" s="24">
        <f t="array" ref="D2">IF(B2="","",IFERROR(INDEX(BD_PT!$C$2:$C$66,MATCH(B2,BD_PT!$B$2:$B$66,0))*IF(A2="",1,A2),""))</f>
        <v>99</v>
      </c>
      <c r="E2" s="24"/>
      <c r="F2" s="24"/>
      <c r="H2" s="27" t="s">
        <v>151</v>
      </c>
      <c r="I2" s="28">
        <f>650+37+15</f>
        <v>702</v>
      </c>
    </row>
    <row r="3" ht="15.75" customHeight="1">
      <c r="A3" s="33">
        <v>1.0</v>
      </c>
      <c r="B3" s="22" t="s">
        <v>6</v>
      </c>
      <c r="C3" s="24" t="str">
        <f t="array" ref="C3">IF(B3="","",IFERROR(INDEX(BD_PT!$A$2:$A$66,MATCH(B3,BD_PT!$B$2:$B$66,0)),""))</f>
        <v>FRES-02</v>
      </c>
      <c r="D3" s="24">
        <f t="array" ref="D3">IF(B3="","",IFERROR(INDEX(BD_PT!$C$2:$C$66,MATCH(B3,BD_PT!$B$2:$B$66,0))*IF(A3="",1,A3),""))</f>
        <v>69</v>
      </c>
      <c r="E3" s="24"/>
      <c r="F3" s="24"/>
      <c r="H3" s="27" t="s">
        <v>147</v>
      </c>
      <c r="I3" s="28">
        <f>56.6+138.15+66.2</f>
        <v>260.95</v>
      </c>
    </row>
    <row r="4" ht="15.75" customHeight="1">
      <c r="A4" s="33">
        <v>1.0</v>
      </c>
      <c r="B4" s="22" t="s">
        <v>8</v>
      </c>
      <c r="C4" s="24" t="str">
        <f t="array" ref="C4">IF(B4="","",IFERROR(INDEX(BD_PT!$A$2:$A$66,MATCH(B4,BD_PT!$B$2:$B$66,0)),""))</f>
        <v>FRES-03</v>
      </c>
      <c r="D4" s="24">
        <f t="array" ref="D4">IF(B4="","",IFERROR(INDEX(BD_PT!$C$2:$C$66,MATCH(B4,BD_PT!$B$2:$B$66,0))*IF(A4="",1,A4),""))</f>
        <v>89</v>
      </c>
      <c r="E4" s="24"/>
      <c r="F4" s="24"/>
    </row>
    <row r="5" ht="15.75" customHeight="1">
      <c r="A5" s="33">
        <v>1.0</v>
      </c>
      <c r="B5" s="22" t="s">
        <v>12</v>
      </c>
      <c r="C5" s="24" t="str">
        <f t="array" ref="C5">IF(B5="","",IFERROR(INDEX(BD_PT!$A$2:$A$66,MATCH(B5,BD_PT!$B$2:$B$66,0)),""))</f>
        <v>FRES-05</v>
      </c>
      <c r="D5" s="24">
        <f t="array" ref="D5">IF(B5="","",IFERROR(INDEX(BD_PT!$C$2:$C$66,MATCH(B5,BD_PT!$B$2:$B$66,0))*IF(A5="",1,A5),""))</f>
        <v>55</v>
      </c>
      <c r="E5" s="24"/>
      <c r="F5" s="24"/>
    </row>
    <row r="6" ht="15.75" customHeight="1">
      <c r="A6" s="33">
        <v>4.0</v>
      </c>
      <c r="B6" s="22" t="s">
        <v>94</v>
      </c>
      <c r="C6" s="24" t="str">
        <f t="array" ref="C6">IF(B6="","",IFERROR(INDEX(BD_PT!$A$2:$A$66,MATCH(B6,BD_PT!$B$2:$B$66,0)),""))</f>
        <v>TOPP-15MAZ</v>
      </c>
      <c r="D6" s="24">
        <f>20*0.9567</f>
        <v>19.134</v>
      </c>
      <c r="E6" s="24"/>
      <c r="F6" s="22" t="s">
        <v>147</v>
      </c>
    </row>
    <row r="7" ht="15.75" customHeight="1">
      <c r="A7" s="33">
        <v>1.0</v>
      </c>
      <c r="B7" s="22" t="s">
        <v>50</v>
      </c>
      <c r="C7" s="24" t="str">
        <f t="array" ref="C7">IF(B7="","",IFERROR(INDEX(BD_PT!$A$2:$A$66,MATCH(B7,BD_PT!$B$2:$B$66,0)),""))</f>
        <v>GALL-04</v>
      </c>
      <c r="D7" s="24">
        <f>39*0.9567</f>
        <v>37.3113</v>
      </c>
      <c r="E7" s="24"/>
      <c r="F7" s="22" t="s">
        <v>147</v>
      </c>
    </row>
    <row r="8" ht="15.75" customHeight="1">
      <c r="A8" s="33">
        <v>1.0</v>
      </c>
      <c r="B8" s="22" t="s">
        <v>44</v>
      </c>
      <c r="C8" s="24" t="str">
        <f t="array" ref="C8">IF(B8="","",IFERROR(INDEX(BD_PT!$A$2:$A$66,MATCH(B8,BD_PT!$B$2:$B$66,0)),""))</f>
        <v>GALL-01</v>
      </c>
      <c r="D8" s="22">
        <v>0.0</v>
      </c>
      <c r="E8" s="24"/>
      <c r="F8" s="22" t="s">
        <v>156</v>
      </c>
    </row>
    <row r="9" ht="15.75" customHeight="1">
      <c r="A9" s="33">
        <v>1.0</v>
      </c>
      <c r="B9" s="22" t="s">
        <v>54</v>
      </c>
      <c r="C9" s="24" t="str">
        <f t="array" ref="C9">IF(B9="","",IFERROR(INDEX(BD_PT!$A$2:$A$66,MATCH(B9,BD_PT!$B$2:$B$66,0)),""))</f>
        <v>POST-01</v>
      </c>
      <c r="D9" s="24">
        <f>55*0.9567</f>
        <v>52.6185</v>
      </c>
      <c r="E9" s="24"/>
      <c r="F9" s="22" t="s">
        <v>147</v>
      </c>
    </row>
    <row r="10" ht="15.75" customHeight="1">
      <c r="A10" s="33">
        <v>1.0</v>
      </c>
      <c r="B10" s="22" t="s">
        <v>8</v>
      </c>
      <c r="C10" s="24" t="str">
        <f t="array" ref="C10">IF(B10="","",IFERROR(INDEX(BD_PT!$A$2:$A$66,MATCH(B10,BD_PT!$B$2:$B$66,0)),""))</f>
        <v>FRES-03</v>
      </c>
      <c r="D10" s="24">
        <f>89*0.9567</f>
        <v>85.1463</v>
      </c>
      <c r="E10" s="24"/>
      <c r="F10" s="22" t="s">
        <v>147</v>
      </c>
    </row>
    <row r="11" ht="15.75" customHeight="1">
      <c r="A11" s="33">
        <v>2.0</v>
      </c>
      <c r="B11" s="22" t="s">
        <v>86</v>
      </c>
      <c r="C11" s="24" t="str">
        <f t="array" ref="C11">IF(B11="","",IFERROR(INDEX(BD_PT!$A$2:$A$66,MATCH(B11,BD_PT!$B$2:$B$66,0)),""))</f>
        <v>DSCH-02</v>
      </c>
      <c r="D11" s="24">
        <f t="array" ref="D11">IF(B11="","",IFERROR(INDEX(BD_PT!$C$2:$C$66,MATCH(B11,BD_PT!$B$2:$B$66,0))*IF(A11="",1,A11),""))</f>
        <v>2</v>
      </c>
      <c r="E11" s="24"/>
      <c r="F11" s="24"/>
    </row>
    <row r="12" ht="15.75" customHeight="1">
      <c r="A12" s="33">
        <v>2.0</v>
      </c>
      <c r="B12" s="22" t="s">
        <v>54</v>
      </c>
      <c r="C12" s="24" t="str">
        <f t="array" ref="C12">IF(B12="","",IFERROR(INDEX(BD_PT!$A$2:$A$66,MATCH(B12,BD_PT!$B$2:$B$66,0)),""))</f>
        <v>POST-01</v>
      </c>
      <c r="D12" s="24">
        <f t="array" ref="D12">IF(B12="","",IFERROR(INDEX(BD_PT!$C$2:$C$66,MATCH(B12,BD_PT!$B$2:$B$66,0))*IF(A12="",1,A12),""))</f>
        <v>110</v>
      </c>
      <c r="E12" s="24"/>
      <c r="F12" s="24"/>
    </row>
    <row r="13" ht="15.75" customHeight="1">
      <c r="A13" s="33">
        <v>1.0</v>
      </c>
      <c r="B13" s="22" t="s">
        <v>26</v>
      </c>
      <c r="C13" s="24" t="str">
        <f t="array" ref="C13">IF(B13="","",IFERROR(INDEX(BD_PT!$A$2:$A$66,MATCH(B13,BD_PT!$B$2:$B$66,0)),""))</f>
        <v>FRES-12</v>
      </c>
      <c r="D13" s="24">
        <f t="array" ref="D13">IF(B13="","",IFERROR(INDEX(BD_PT!$C$2:$C$66,MATCH(B13,BD_PT!$B$2:$B$66,0))*IF(A13="",1,A13),""))</f>
        <v>153</v>
      </c>
      <c r="E13" s="24"/>
      <c r="F13" s="24"/>
    </row>
    <row r="14" ht="15.75" customHeight="1">
      <c r="A14" s="33">
        <v>1.0</v>
      </c>
      <c r="B14" s="22" t="s">
        <v>38</v>
      </c>
      <c r="C14" s="24" t="str">
        <f t="array" ref="C14">IF(B14="","",IFERROR(INDEX(BD_PT!$A$2:$A$66,MATCH(B14,BD_PT!$B$2:$B$66,0)),""))</f>
        <v>FRES-18</v>
      </c>
      <c r="D14" s="24">
        <f t="array" ref="D14">IF(B14="","",IFERROR(INDEX(BD_PT!$C$2:$C$66,MATCH(B14,BD_PT!$B$2:$B$66,0))*IF(A14="",1,A14),""))</f>
        <v>125</v>
      </c>
      <c r="E14" s="24"/>
      <c r="F14" s="24"/>
    </row>
    <row r="15" ht="15.75" customHeight="1">
      <c r="A15" s="33">
        <v>1.0</v>
      </c>
      <c r="B15" s="22" t="s">
        <v>6</v>
      </c>
      <c r="C15" s="24" t="str">
        <f t="array" ref="C15">IF(B15="","",IFERROR(INDEX(BD_PT!$A$2:$A$66,MATCH(B15,BD_PT!$B$2:$B$66,0)),""))</f>
        <v>FRES-02</v>
      </c>
      <c r="D15" s="24">
        <f>69*0.9567</f>
        <v>66.0123</v>
      </c>
      <c r="E15" s="24"/>
      <c r="F15" s="22" t="s">
        <v>147</v>
      </c>
    </row>
    <row r="16" ht="15.75" customHeight="1">
      <c r="A16" s="34"/>
      <c r="B16" s="24"/>
      <c r="C16" s="24" t="str">
        <f t="array" ref="C16">IF(B16="","",IFERROR(INDEX(BD_PT!$A$2:$A$66,MATCH(B16,BD_PT!$B$2:$B$66,0)),""))</f>
        <v/>
      </c>
      <c r="D16" s="24" t="str">
        <f t="array" ref="D16">IF(B16="","",IFERROR(INDEX(BD_PT!$C$2:$C$66,MATCH(B16,BD_PT!$B$2:$B$66,0))*IF(A16="",1,A16),""))</f>
        <v/>
      </c>
      <c r="E16" s="24"/>
      <c r="F16" s="24"/>
    </row>
    <row r="17" ht="15.75" customHeight="1">
      <c r="A17" s="34"/>
      <c r="B17" s="24"/>
      <c r="C17" s="24" t="str">
        <f t="array" ref="C17">IF(B17="","",IFERROR(INDEX(BD_PT!$A$2:$A$66,MATCH(B17,BD_PT!$B$2:$B$66,0)),""))</f>
        <v/>
      </c>
      <c r="D17" s="24" t="str">
        <f t="array" ref="D17">IF(B17="","",IFERROR(INDEX(BD_PT!$C$2:$C$66,MATCH(B17,BD_PT!$B$2:$B$66,0))*IF(A17="",1,A17),""))</f>
        <v/>
      </c>
      <c r="E17" s="24"/>
      <c r="F17" s="24"/>
    </row>
    <row r="18" ht="15.75" customHeight="1">
      <c r="A18" s="34"/>
      <c r="B18" s="24"/>
      <c r="C18" s="24" t="str">
        <f t="array" ref="C18">IF(B18="","",IFERROR(INDEX(BD_PT!$A$2:$A$66,MATCH(B18,BD_PT!$B$2:$B$66,0)),""))</f>
        <v/>
      </c>
      <c r="D18" s="24" t="str">
        <f t="array" ref="D18">IF(B18="","",IFERROR(INDEX(BD_PT!$C$2:$C$66,MATCH(B18,BD_PT!$B$2:$B$66,0))*IF(A18="",1,A18),""))</f>
        <v/>
      </c>
      <c r="E18" s="24"/>
      <c r="F18" s="24"/>
    </row>
    <row r="19" ht="15.75" customHeight="1">
      <c r="A19" s="34"/>
      <c r="B19" s="24"/>
      <c r="C19" s="24" t="str">
        <f t="array" ref="C19">IF(B19="","",IFERROR(INDEX(BD_PT!$A$2:$A$66,MATCH(B19,BD_PT!$B$2:$B$66,0)),""))</f>
        <v/>
      </c>
      <c r="D19" s="24" t="str">
        <f t="array" ref="D19">IF(B19="","",IFERROR(INDEX(BD_PT!$C$2:$C$66,MATCH(B19,BD_PT!$B$2:$B$66,0))*IF(A19="",1,A19),""))</f>
        <v/>
      </c>
      <c r="E19" s="24"/>
      <c r="F19" s="24"/>
    </row>
    <row r="20" ht="15.75" customHeight="1">
      <c r="A20" s="34"/>
      <c r="B20" s="24"/>
      <c r="C20" s="24" t="str">
        <f t="array" ref="C20">IF(B20="","",IFERROR(INDEX(BD_PT!$A$2:$A$66,MATCH(B20,BD_PT!$B$2:$B$66,0)),""))</f>
        <v/>
      </c>
      <c r="D20" s="24" t="str">
        <f t="array" ref="D20">IF(B20="","",IFERROR(INDEX(BD_PT!$C$2:$C$66,MATCH(B20,BD_PT!$B$2:$B$66,0))*IF(A20="",1,A20),""))</f>
        <v/>
      </c>
      <c r="E20" s="24"/>
      <c r="F20" s="24"/>
    </row>
    <row r="21" ht="15.75" customHeight="1">
      <c r="A21" s="34"/>
      <c r="B21" s="24"/>
      <c r="C21" s="24" t="str">
        <f t="array" ref="C21">IF(B21="","",IFERROR(INDEX(BD_PT!$A$2:$A$66,MATCH(B21,BD_PT!$B$2:$B$66,0)),""))</f>
        <v/>
      </c>
      <c r="D21" s="24" t="str">
        <f t="array" ref="D21">IF(B21="","",IFERROR(INDEX(BD_PT!$C$2:$C$66,MATCH(B21,BD_PT!$B$2:$B$66,0))*IF(A21="",1,A21),""))</f>
        <v/>
      </c>
      <c r="E21" s="24"/>
      <c r="F21" s="24"/>
    </row>
    <row r="22" ht="15.75" customHeight="1">
      <c r="A22" s="34"/>
      <c r="B22" s="24"/>
      <c r="C22" s="24" t="str">
        <f t="array" ref="C22">IF(B22="","",IFERROR(INDEX(BD_PT!$A$2:$A$66,MATCH(B22,BD_PT!$B$2:$B$66,0)),""))</f>
        <v/>
      </c>
      <c r="D22" s="24" t="str">
        <f t="array" ref="D22">IF(B22="","",IFERROR(INDEX(BD_PT!$C$2:$C$66,MATCH(B22,BD_PT!$B$2:$B$66,0))*IF(A22="",1,A22),""))</f>
        <v/>
      </c>
      <c r="E22" s="24"/>
      <c r="F22" s="24"/>
    </row>
    <row r="23" ht="15.75" customHeight="1">
      <c r="A23" s="34"/>
      <c r="B23" s="24"/>
      <c r="C23" s="24" t="str">
        <f t="array" ref="C23">IF(B23="","",IFERROR(INDEX(BD_PT!$A$2:$A$66,MATCH(B23,BD_PT!$B$2:$B$66,0)),""))</f>
        <v/>
      </c>
      <c r="D23" s="24" t="str">
        <f t="array" ref="D23">IF(B23="","",IFERROR(INDEX(BD_PT!$C$2:$C$66,MATCH(B23,BD_PT!$B$2:$B$66,0))*IF(A23="",1,A23),""))</f>
        <v/>
      </c>
      <c r="E23" s="24"/>
      <c r="F23" s="24"/>
    </row>
    <row r="24" ht="15.75" customHeight="1">
      <c r="A24" s="34"/>
      <c r="B24" s="24"/>
      <c r="C24" s="24" t="str">
        <f t="array" ref="C24">IF(B24="","",IFERROR(INDEX(BD_PT!$A$2:$A$66,MATCH(B24,BD_PT!$B$2:$B$66,0)),""))</f>
        <v/>
      </c>
      <c r="D24" s="24" t="str">
        <f t="array" ref="D24">IF(B24="","",IFERROR(INDEX(BD_PT!$C$2:$C$66,MATCH(B24,BD_PT!$B$2:$B$66,0))*IF(A24="",1,A24),""))</f>
        <v/>
      </c>
      <c r="E24" s="24"/>
      <c r="F24" s="24"/>
    </row>
    <row r="25" ht="15.75" customHeight="1">
      <c r="A25" s="34"/>
      <c r="B25" s="24"/>
      <c r="C25" s="24" t="str">
        <f t="array" ref="C25">IF(B25="","",IFERROR(INDEX(BD_PT!$A$2:$A$66,MATCH(B25,BD_PT!$B$2:$B$66,0)),""))</f>
        <v/>
      </c>
      <c r="D25" s="24" t="str">
        <f t="array" ref="D25">IF(B25="","",IFERROR(INDEX(BD_PT!$C$2:$C$66,MATCH(B25,BD_PT!$B$2:$B$66,0))*IF(A25="",1,A25),""))</f>
        <v/>
      </c>
      <c r="E25" s="24"/>
      <c r="F25" s="24"/>
    </row>
    <row r="26" ht="15.75" customHeight="1">
      <c r="A26" s="34"/>
      <c r="B26" s="24"/>
      <c r="C26" s="24" t="str">
        <f t="array" ref="C26">IF(B26="","",IFERROR(INDEX(BD_PT!$A$2:$A$66,MATCH(B26,BD_PT!$B$2:$B$66,0)),""))</f>
        <v/>
      </c>
      <c r="D26" s="24" t="str">
        <f t="array" ref="D26">IF(B26="","",IFERROR(INDEX(BD_PT!$C$2:$C$66,MATCH(B26,BD_PT!$B$2:$B$66,0))*IF(A26="",1,A26),""))</f>
        <v/>
      </c>
      <c r="E26" s="24"/>
      <c r="F26" s="24"/>
    </row>
    <row r="27" ht="15.75" customHeight="1">
      <c r="A27" s="34"/>
      <c r="B27" s="24"/>
      <c r="C27" s="24" t="str">
        <f t="array" ref="C27">IF(B27="","",IFERROR(INDEX(BD_PT!$A$2:$A$66,MATCH(B27,BD_PT!$B$2:$B$66,0)),""))</f>
        <v/>
      </c>
      <c r="D27" s="24" t="str">
        <f t="array" ref="D27">IF(B27="","",IFERROR(INDEX(BD_PT!$C$2:$C$66,MATCH(B27,BD_PT!$B$2:$B$66,0))*IF(A27="",1,A27),""))</f>
        <v/>
      </c>
      <c r="E27" s="24"/>
      <c r="F27" s="24"/>
    </row>
    <row r="28" ht="15.75" customHeight="1">
      <c r="A28" s="34"/>
      <c r="B28" s="24"/>
      <c r="C28" s="24" t="str">
        <f t="array" ref="C28">IF(B28="","",IFERROR(INDEX(BD_PT!$A$2:$A$66,MATCH(B28,BD_PT!$B$2:$B$66,0)),""))</f>
        <v/>
      </c>
      <c r="D28" s="24" t="str">
        <f t="array" ref="D28">IF(B28="","",IFERROR(INDEX(BD_PT!$C$2:$C$66,MATCH(B28,BD_PT!$B$2:$B$66,0))*IF(A28="",1,A28),""))</f>
        <v/>
      </c>
      <c r="E28" s="24"/>
      <c r="F28" s="24"/>
    </row>
    <row r="29" ht="15.75" customHeight="1">
      <c r="A29" s="34"/>
      <c r="B29" s="24"/>
      <c r="C29" s="24" t="str">
        <f t="array" ref="C29">IF(B29="","",IFERROR(INDEX(BD_PT!$A$2:$A$66,MATCH(B29,BD_PT!$B$2:$B$66,0)),""))</f>
        <v/>
      </c>
      <c r="D29" s="24" t="str">
        <f t="array" ref="D29">IF(B29="","",IFERROR(INDEX(BD_PT!$C$2:$C$66,MATCH(B29,BD_PT!$B$2:$B$66,0))*IF(A29="",1,A29),""))</f>
        <v/>
      </c>
      <c r="E29" s="24"/>
      <c r="F29" s="24"/>
    </row>
    <row r="30" ht="15.75" customHeight="1">
      <c r="A30" s="34"/>
      <c r="B30" s="24"/>
      <c r="C30" s="24" t="str">
        <f t="array" ref="C30">IF(B30="","",IFERROR(INDEX(BD_PT!$A$2:$A$66,MATCH(B30,BD_PT!$B$2:$B$66,0)),""))</f>
        <v/>
      </c>
      <c r="D30" s="24" t="str">
        <f t="array" ref="D30">IF(B30="","",IFERROR(INDEX(BD_PT!$C$2:$C$66,MATCH(B30,BD_PT!$B$2:$B$66,0))*IF(A30="",1,A30),""))</f>
        <v/>
      </c>
      <c r="E30" s="24"/>
      <c r="F30" s="24"/>
    </row>
    <row r="31" ht="15.75" customHeight="1">
      <c r="A31" s="34"/>
      <c r="B31" s="24"/>
      <c r="C31" s="24" t="str">
        <f t="array" ref="C31">IF(B31="","",IFERROR(INDEX(BD_PT!$A$2:$A$66,MATCH(B31,BD_PT!$B$2:$B$66,0)),""))</f>
        <v/>
      </c>
      <c r="D31" s="24" t="str">
        <f t="array" ref="D31">IF(B31="","",IFERROR(INDEX(BD_PT!$C$2:$C$66,MATCH(B31,BD_PT!$B$2:$B$66,0))*IF(A31="",1,A31),""))</f>
        <v/>
      </c>
      <c r="E31" s="24"/>
      <c r="F31" s="24"/>
    </row>
    <row r="32" ht="15.75" customHeight="1">
      <c r="A32" s="34"/>
      <c r="B32" s="24"/>
      <c r="C32" s="24" t="str">
        <f t="array" ref="C32">IF(B32="","",IFERROR(INDEX(BD_PT!$A$2:$A$66,MATCH(B32,BD_PT!$B$2:$B$66,0)),""))</f>
        <v/>
      </c>
      <c r="D32" s="24" t="str">
        <f t="array" ref="D32">IF(B32="","",IFERROR(INDEX(BD_PT!$C$2:$C$66,MATCH(B32,BD_PT!$B$2:$B$66,0))*IF(A32="",1,A32),""))</f>
        <v/>
      </c>
      <c r="E32" s="24"/>
      <c r="F32" s="24"/>
    </row>
    <row r="33" ht="15.75" customHeight="1">
      <c r="A33" s="34"/>
      <c r="B33" s="24"/>
      <c r="C33" s="24" t="str">
        <f t="array" ref="C33">IF(B33="","",IFERROR(INDEX(BD_PT!$A$2:$A$66,MATCH(B33,BD_PT!$B$2:$B$66,0)),""))</f>
        <v/>
      </c>
      <c r="D33" s="24" t="str">
        <f t="array" ref="D33">IF(B33="","",IFERROR(INDEX(BD_PT!$C$2:$C$66,MATCH(B33,BD_PT!$B$2:$B$66,0))*IF(A33="",1,A33),""))</f>
        <v/>
      </c>
      <c r="E33" s="24"/>
      <c r="F33" s="24"/>
    </row>
    <row r="34" ht="15.75" customHeight="1">
      <c r="A34" s="34"/>
      <c r="B34" s="24"/>
      <c r="C34" s="24" t="str">
        <f t="array" ref="C34">IF(B34="","",IFERROR(INDEX(BD_PT!$A$2:$A$66,MATCH(B34,BD_PT!$B$2:$B$66,0)),""))</f>
        <v/>
      </c>
      <c r="D34" s="24" t="str">
        <f t="array" ref="D34">IF(B34="","",IFERROR(INDEX(BD_PT!$C$2:$C$66,MATCH(B34,BD_PT!$B$2:$B$66,0))*IF(A34="",1,A34),""))</f>
        <v/>
      </c>
      <c r="E34" s="24"/>
      <c r="F34" s="24"/>
    </row>
    <row r="35" ht="15.75" customHeight="1">
      <c r="A35" s="34"/>
      <c r="B35" s="24"/>
      <c r="C35" s="24" t="str">
        <f t="array" ref="C35">IF(B35="","",IFERROR(INDEX(BD_PT!$A$2:$A$66,MATCH(B35,BD_PT!$B$2:$B$66,0)),""))</f>
        <v/>
      </c>
      <c r="D35" s="24" t="str">
        <f t="array" ref="D35">IF(B35="","",IFERROR(INDEX(BD_PT!$C$2:$C$66,MATCH(B35,BD_PT!$B$2:$B$66,0))*IF(A35="",1,A35),""))</f>
        <v/>
      </c>
      <c r="E35" s="24"/>
      <c r="F35" s="24"/>
    </row>
    <row r="36" ht="15.75" customHeight="1">
      <c r="A36" s="34"/>
      <c r="B36" s="24"/>
      <c r="C36" s="24" t="str">
        <f t="array" ref="C36">IF(B36="","",IFERROR(INDEX(BD_PT!$A$2:$A$66,MATCH(B36,BD_PT!$B$2:$B$66,0)),""))</f>
        <v/>
      </c>
      <c r="D36" s="24" t="str">
        <f t="array" ref="D36">IF(B36="","",IFERROR(INDEX(BD_PT!$C$2:$C$66,MATCH(B36,BD_PT!$B$2:$B$66,0))*IF(A36="",1,A36),""))</f>
        <v/>
      </c>
      <c r="E36" s="24"/>
      <c r="F36" s="24"/>
    </row>
    <row r="37" ht="15.75" customHeight="1">
      <c r="A37" s="34"/>
      <c r="B37" s="24"/>
      <c r="C37" s="24" t="str">
        <f t="array" ref="C37">IF(B37="","",IFERROR(INDEX(BD_PT!$A$2:$A$66,MATCH(B37,BD_PT!$B$2:$B$66,0)),""))</f>
        <v/>
      </c>
      <c r="D37" s="24" t="str">
        <f t="array" ref="D37">IF(B37="","",IFERROR(INDEX(BD_PT!$C$2:$C$66,MATCH(B37,BD_PT!$B$2:$B$66,0))*IF(A37="",1,A37),""))</f>
        <v/>
      </c>
      <c r="E37" s="24"/>
      <c r="F37" s="24"/>
    </row>
    <row r="38" ht="15.75" customHeight="1">
      <c r="A38" s="34"/>
      <c r="B38" s="24"/>
      <c r="C38" s="24" t="str">
        <f t="array" ref="C38">IF(B38="","",IFERROR(INDEX(BD_PT!$A$2:$A$66,MATCH(B38,BD_PT!$B$2:$B$66,0)),""))</f>
        <v/>
      </c>
      <c r="D38" s="24" t="str">
        <f t="array" ref="D38">IF(B38="","",IFERROR(INDEX(BD_PT!$C$2:$C$66,MATCH(B38,BD_PT!$B$2:$B$66,0))*IF(A38="",1,A38),""))</f>
        <v/>
      </c>
      <c r="E38" s="24"/>
      <c r="F38" s="24"/>
    </row>
    <row r="39" ht="15.75" customHeight="1">
      <c r="A39" s="34"/>
      <c r="B39" s="24"/>
      <c r="C39" s="24" t="str">
        <f t="array" ref="C39">IF(B39="","",IFERROR(INDEX(BD_PT!$A$2:$A$66,MATCH(B39,BD_PT!$B$2:$B$66,0)),""))</f>
        <v/>
      </c>
      <c r="D39" s="24" t="str">
        <f t="array" ref="D39">IF(B39="","",IFERROR(INDEX(BD_PT!$C$2:$C$66,MATCH(B39,BD_PT!$B$2:$B$66,0))*IF(A39="",1,A39),""))</f>
        <v/>
      </c>
      <c r="E39" s="24"/>
      <c r="F39" s="24"/>
    </row>
    <row r="40" ht="15.75" customHeight="1">
      <c r="A40" s="34"/>
      <c r="B40" s="24"/>
      <c r="C40" s="24" t="str">
        <f t="array" ref="C40">IF(B40="","",IFERROR(INDEX(BD_PT!$A$2:$A$66,MATCH(B40,BD_PT!$B$2:$B$66,0)),""))</f>
        <v/>
      </c>
      <c r="D40" s="24" t="str">
        <f t="array" ref="D40">IF(B40="","",IFERROR(INDEX(BD_PT!$C$2:$C$66,MATCH(B40,BD_PT!$B$2:$B$66,0))*IF(A40="",1,A40),""))</f>
        <v/>
      </c>
      <c r="E40" s="24"/>
      <c r="F40" s="24"/>
    </row>
    <row r="41" ht="15.75" customHeight="1">
      <c r="A41" s="34"/>
      <c r="B41" s="24"/>
      <c r="C41" s="24" t="str">
        <f t="array" ref="C41">IF(B41="","",IFERROR(INDEX(BD_PT!$A$2:$A$66,MATCH(B41,BD_PT!$B$2:$B$66,0)),""))</f>
        <v/>
      </c>
      <c r="D41" s="24" t="str">
        <f t="array" ref="D41">IF(B41="","",IFERROR(INDEX(BD_PT!$C$2:$C$66,MATCH(B41,BD_PT!$B$2:$B$66,0))*IF(A41="",1,A41),""))</f>
        <v/>
      </c>
      <c r="E41" s="24"/>
      <c r="F41" s="24"/>
    </row>
    <row r="42" ht="15.75" customHeight="1">
      <c r="A42" s="34"/>
      <c r="B42" s="24"/>
      <c r="C42" s="24" t="str">
        <f t="array" ref="C42">IF(B42="","",IFERROR(INDEX(BD_PT!$A$2:$A$66,MATCH(B42,BD_PT!$B$2:$B$66,0)),""))</f>
        <v/>
      </c>
      <c r="D42" s="24" t="str">
        <f t="array" ref="D42">IF(B42="","",IFERROR(INDEX(BD_PT!$C$2:$C$66,MATCH(B42,BD_PT!$B$2:$B$66,0))*IF(A42="",1,A42),""))</f>
        <v/>
      </c>
      <c r="E42" s="24"/>
      <c r="F42" s="24"/>
    </row>
    <row r="43" ht="15.75" customHeight="1">
      <c r="A43" s="34"/>
      <c r="B43" s="24"/>
      <c r="C43" s="24" t="str">
        <f t="array" ref="C43">IF(B43="","",IFERROR(INDEX(BD_PT!$A$2:$A$66,MATCH(B43,BD_PT!$B$2:$B$66,0)),""))</f>
        <v/>
      </c>
      <c r="D43" s="24" t="str">
        <f t="array" ref="D43">IF(B43="","",IFERROR(INDEX(BD_PT!$C$2:$C$66,MATCH(B43,BD_PT!$B$2:$B$66,0))*IF(A43="",1,A43),""))</f>
        <v/>
      </c>
      <c r="E43" s="24"/>
      <c r="F43" s="24"/>
    </row>
    <row r="44" ht="15.75" customHeight="1">
      <c r="A44" s="34"/>
      <c r="B44" s="24"/>
      <c r="C44" s="24" t="str">
        <f t="array" ref="C44">IF(B44="","",IFERROR(INDEX(BD_PT!$A$2:$A$66,MATCH(B44,BD_PT!$B$2:$B$66,0)),""))</f>
        <v/>
      </c>
      <c r="D44" s="24" t="str">
        <f t="array" ref="D44">IF(B44="","",IFERROR(INDEX(BD_PT!$C$2:$C$66,MATCH(B44,BD_PT!$B$2:$B$66,0))*IF(A44="",1,A44),""))</f>
        <v/>
      </c>
      <c r="E44" s="24"/>
      <c r="F44" s="24"/>
    </row>
    <row r="45" ht="15.75" customHeight="1">
      <c r="A45" s="34"/>
      <c r="B45" s="24"/>
      <c r="C45" s="24" t="str">
        <f t="array" ref="C45">IF(B45="","",IFERROR(INDEX(BD_PT!$A$2:$A$66,MATCH(B45,BD_PT!$B$2:$B$66,0)),""))</f>
        <v/>
      </c>
      <c r="D45" s="24" t="str">
        <f t="array" ref="D45">IF(B45="","",IFERROR(INDEX(BD_PT!$C$2:$C$66,MATCH(B45,BD_PT!$B$2:$B$66,0))*IF(A45="",1,A45),""))</f>
        <v/>
      </c>
      <c r="E45" s="24"/>
      <c r="F45" s="24"/>
    </row>
    <row r="46" ht="15.75" customHeight="1">
      <c r="A46" s="34"/>
      <c r="B46" s="24"/>
      <c r="C46" s="24" t="str">
        <f t="array" ref="C46">IF(B46="","",IFERROR(INDEX(BD_PT!$A$2:$A$66,MATCH(B46,BD_PT!$B$2:$B$66,0)),""))</f>
        <v/>
      </c>
      <c r="D46" s="24" t="str">
        <f t="array" ref="D46">IF(B46="","",IFERROR(INDEX(BD_PT!$C$2:$C$66,MATCH(B46,BD_PT!$B$2:$B$66,0))*IF(A46="",1,A46),""))</f>
        <v/>
      </c>
      <c r="E46" s="24"/>
      <c r="F46" s="24"/>
    </row>
    <row r="47" ht="15.75" customHeight="1">
      <c r="A47" s="34"/>
      <c r="B47" s="24"/>
      <c r="C47" s="24" t="str">
        <f t="array" ref="C47">IF(B47="","",IFERROR(INDEX(BD_PT!$A$2:$A$66,MATCH(B47,BD_PT!$B$2:$B$66,0)),""))</f>
        <v/>
      </c>
      <c r="D47" s="24" t="str">
        <f t="array" ref="D47">IF(B47="","",IFERROR(INDEX(BD_PT!$C$2:$C$66,MATCH(B47,BD_PT!$B$2:$B$66,0))*IF(A47="",1,A47),""))</f>
        <v/>
      </c>
      <c r="E47" s="24"/>
      <c r="F47" s="24"/>
    </row>
    <row r="48" ht="15.75" customHeight="1">
      <c r="A48" s="34"/>
      <c r="B48" s="24"/>
      <c r="C48" s="24" t="str">
        <f t="array" ref="C48">IF(B48="","",IFERROR(INDEX(BD_PT!$A$2:$A$66,MATCH(B48,BD_PT!$B$2:$B$66,0)),""))</f>
        <v/>
      </c>
      <c r="D48" s="24" t="str">
        <f t="array" ref="D48">IF(B48="","",IFERROR(INDEX(BD_PT!$C$2:$C$66,MATCH(B48,BD_PT!$B$2:$B$66,0))*IF(A48="",1,A48),""))</f>
        <v/>
      </c>
      <c r="E48" s="24"/>
      <c r="F48" s="24"/>
    </row>
    <row r="49" ht="15.75" customHeight="1">
      <c r="A49" s="34"/>
      <c r="B49" s="24"/>
      <c r="C49" s="24" t="str">
        <f t="array" ref="C49">IF(B49="","",IFERROR(INDEX(BD_PT!$A$2:$A$66,MATCH(B49,BD_PT!$B$2:$B$66,0)),""))</f>
        <v/>
      </c>
      <c r="D49" s="24" t="str">
        <f t="array" ref="D49">IF(B49="","",IFERROR(INDEX(BD_PT!$C$2:$C$66,MATCH(B49,BD_PT!$B$2:$B$66,0))*IF(A49="",1,A49),""))</f>
        <v/>
      </c>
      <c r="E49" s="24"/>
      <c r="F49" s="24"/>
    </row>
    <row r="50" ht="15.75" customHeight="1">
      <c r="A50" s="34"/>
      <c r="B50" s="24"/>
      <c r="C50" s="24" t="str">
        <f t="array" ref="C50">IF(B50="","",IFERROR(INDEX(BD_PT!$A$2:$A$66,MATCH(B50,BD_PT!$B$2:$B$66,0)),""))</f>
        <v/>
      </c>
      <c r="D50" s="24" t="str">
        <f t="array" ref="D50">IF(B50="","",IFERROR(INDEX(BD_PT!$C$2:$C$66,MATCH(B50,BD_PT!$B$2:$B$66,0))*IF(A50="",1,A50),""))</f>
        <v/>
      </c>
      <c r="E50" s="24"/>
      <c r="F50" s="24"/>
    </row>
    <row r="51" ht="15.75" customHeight="1">
      <c r="A51" s="34"/>
      <c r="B51" s="24"/>
      <c r="C51" s="24" t="str">
        <f t="array" ref="C51">IF(B51="","",IFERROR(INDEX(BD_PT!$A$2:$A$66,MATCH(B51,BD_PT!$B$2:$B$66,0)),""))</f>
        <v/>
      </c>
      <c r="D51" s="24" t="str">
        <f t="array" ref="D51">IF(B51="","",IFERROR(INDEX(BD_PT!$C$2:$C$66,MATCH(B51,BD_PT!$B$2:$B$66,0))*IF(A51="",1,A51),""))</f>
        <v/>
      </c>
      <c r="E51" s="24"/>
      <c r="F51" s="24"/>
    </row>
    <row r="52" ht="15.75" customHeight="1">
      <c r="A52" s="34"/>
      <c r="B52" s="24"/>
      <c r="C52" s="24" t="str">
        <f t="array" ref="C52">IF(B52="","",IFERROR(INDEX(BD_PT!$A$2:$A$66,MATCH(B52,BD_PT!$B$2:$B$66,0)),""))</f>
        <v/>
      </c>
      <c r="D52" s="24" t="str">
        <f t="array" ref="D52">IF(B52="","",IFERROR(INDEX(BD_PT!$C$2:$C$66,MATCH(B52,BD_PT!$B$2:$B$66,0))*IF(A52="",1,A52),""))</f>
        <v/>
      </c>
      <c r="E52" s="24"/>
      <c r="F52" s="24"/>
    </row>
    <row r="53" ht="15.75" customHeight="1">
      <c r="A53" s="34"/>
      <c r="B53" s="24"/>
      <c r="C53" s="24" t="str">
        <f t="array" ref="C53">IF(B53="","",IFERROR(INDEX(BD_PT!$A$2:$A$66,MATCH(B53,BD_PT!$B$2:$B$66,0)),""))</f>
        <v/>
      </c>
      <c r="D53" s="24" t="str">
        <f t="array" ref="D53">IF(B53="","",IFERROR(INDEX(BD_PT!$C$2:$C$66,MATCH(B53,BD_PT!$B$2:$B$66,0))*IF(A53="",1,A53),""))</f>
        <v/>
      </c>
      <c r="E53" s="24"/>
      <c r="F53" s="24"/>
    </row>
    <row r="54" ht="15.75" customHeight="1">
      <c r="A54" s="34"/>
      <c r="B54" s="24"/>
      <c r="C54" s="24" t="str">
        <f t="array" ref="C54">IF(B54="","",IFERROR(INDEX(BD_PT!$A$2:$A$66,MATCH(B54,BD_PT!$B$2:$B$66,0)),""))</f>
        <v/>
      </c>
      <c r="D54" s="24" t="str">
        <f t="array" ref="D54">IF(B54="","",IFERROR(INDEX(BD_PT!$C$2:$C$66,MATCH(B54,BD_PT!$B$2:$B$66,0))*IF(A54="",1,A54),""))</f>
        <v/>
      </c>
      <c r="E54" s="24"/>
      <c r="F54" s="24"/>
    </row>
    <row r="55" ht="15.75" customHeight="1">
      <c r="A55" s="34"/>
      <c r="B55" s="24"/>
      <c r="C55" s="24" t="str">
        <f t="array" ref="C55">IF(B55="","",IFERROR(INDEX(BD_PT!$A$2:$A$66,MATCH(B55,BD_PT!$B$2:$B$66,0)),""))</f>
        <v/>
      </c>
      <c r="D55" s="24" t="str">
        <f t="array" ref="D55">IF(B55="","",IFERROR(INDEX(BD_PT!$C$2:$C$66,MATCH(B55,BD_PT!$B$2:$B$66,0))*IF(A55="",1,A55),""))</f>
        <v/>
      </c>
      <c r="E55" s="24"/>
      <c r="F55" s="24"/>
    </row>
    <row r="56" ht="15.75" customHeight="1">
      <c r="A56" s="34"/>
      <c r="B56" s="24"/>
      <c r="C56" s="24" t="str">
        <f t="array" ref="C56">IF(B56="","",IFERROR(INDEX(BD_PT!$A$2:$A$66,MATCH(B56,BD_PT!$B$2:$B$66,0)),""))</f>
        <v/>
      </c>
      <c r="D56" s="24" t="str">
        <f t="array" ref="D56">IF(B56="","",IFERROR(INDEX(BD_PT!$C$2:$C$66,MATCH(B56,BD_PT!$B$2:$B$66,0))*IF(A56="",1,A56),""))</f>
        <v/>
      </c>
      <c r="E56" s="24"/>
      <c r="F56" s="24"/>
    </row>
    <row r="57" ht="15.75" customHeight="1">
      <c r="A57" s="34"/>
      <c r="B57" s="24"/>
      <c r="C57" s="24" t="str">
        <f t="array" ref="C57">IF(B57="","",IFERROR(INDEX(BD_PT!$A$2:$A$66,MATCH(B57,BD_PT!$B$2:$B$66,0)),""))</f>
        <v/>
      </c>
      <c r="D57" s="24" t="str">
        <f t="array" ref="D57">IF(B57="","",IFERROR(INDEX(BD_PT!$C$2:$C$66,MATCH(B57,BD_PT!$B$2:$B$66,0))*IF(A57="",1,A57),""))</f>
        <v/>
      </c>
      <c r="E57" s="24"/>
      <c r="F57" s="24"/>
    </row>
    <row r="58" ht="15.75" customHeight="1">
      <c r="A58" s="34"/>
      <c r="B58" s="24"/>
      <c r="C58" s="24" t="str">
        <f t="array" ref="C58">IF(B58="","",IFERROR(INDEX(BD_PT!$A$2:$A$66,MATCH(B58,BD_PT!$B$2:$B$66,0)),""))</f>
        <v/>
      </c>
      <c r="D58" s="24" t="str">
        <f t="array" ref="D58">IF(B58="","",IFERROR(INDEX(BD_PT!$C$2:$C$66,MATCH(B58,BD_PT!$B$2:$B$66,0))*IF(A58="",1,A58),""))</f>
        <v/>
      </c>
      <c r="E58" s="24"/>
      <c r="F58" s="24"/>
    </row>
    <row r="59" ht="15.75" customHeight="1">
      <c r="A59" s="34"/>
      <c r="B59" s="24"/>
      <c r="C59" s="24" t="str">
        <f t="array" ref="C59">IF(B59="","",IFERROR(INDEX(BD_PT!$A$2:$A$66,MATCH(B59,BD_PT!$B$2:$B$66,0)),""))</f>
        <v/>
      </c>
      <c r="D59" s="24" t="str">
        <f t="array" ref="D59">IF(B59="","",IFERROR(INDEX(BD_PT!$C$2:$C$66,MATCH(B59,BD_PT!$B$2:$B$66,0))*IF(A59="",1,A59),""))</f>
        <v/>
      </c>
      <c r="E59" s="24"/>
      <c r="F59" s="24"/>
    </row>
    <row r="60" ht="15.75" customHeight="1">
      <c r="A60" s="34"/>
      <c r="B60" s="24"/>
      <c r="C60" s="24" t="str">
        <f t="array" ref="C60">IF(B60="","",IFERROR(INDEX(BD_PT!$A$2:$A$66,MATCH(B60,BD_PT!$B$2:$B$66,0)),""))</f>
        <v/>
      </c>
      <c r="D60" s="24" t="str">
        <f t="array" ref="D60">IF(B60="","",IFERROR(INDEX(BD_PT!$C$2:$C$66,MATCH(B60,BD_PT!$B$2:$B$66,0))*IF(A60="",1,A60),""))</f>
        <v/>
      </c>
      <c r="E60" s="24"/>
      <c r="F60" s="24"/>
    </row>
    <row r="61" ht="15.75" customHeight="1">
      <c r="A61" s="34"/>
      <c r="B61" s="24"/>
      <c r="C61" s="24" t="str">
        <f t="array" ref="C61">IF(B61="","",IFERROR(INDEX(BD_PT!$A$2:$A$66,MATCH(B61,BD_PT!$B$2:$B$66,0)),""))</f>
        <v/>
      </c>
      <c r="D61" s="24" t="str">
        <f t="array" ref="D61">IF(B61="","",IFERROR(INDEX(BD_PT!$C$2:$C$66,MATCH(B61,BD_PT!$B$2:$B$66,0))*IF(A61="",1,A61),""))</f>
        <v/>
      </c>
      <c r="E61" s="24"/>
      <c r="F61" s="24"/>
    </row>
    <row r="62" ht="15.75" customHeight="1">
      <c r="A62" s="34"/>
      <c r="B62" s="24"/>
      <c r="C62" s="24" t="str">
        <f t="array" ref="C62">IF(B62="","",IFERROR(INDEX(BD_PT!$A$2:$A$66,MATCH(B62,BD_PT!$B$2:$B$66,0)),""))</f>
        <v/>
      </c>
      <c r="D62" s="24" t="str">
        <f t="array" ref="D62">IF(B62="","",IFERROR(INDEX(BD_PT!$C$2:$C$66,MATCH(B62,BD_PT!$B$2:$B$66,0))*IF(A62="",1,A62),""))</f>
        <v/>
      </c>
      <c r="E62" s="24"/>
      <c r="F62" s="24"/>
    </row>
    <row r="63" ht="15.75" customHeight="1">
      <c r="A63" s="34"/>
      <c r="B63" s="24"/>
      <c r="C63" s="24" t="str">
        <f t="array" ref="C63">IF(B63="","",IFERROR(INDEX(BD_PT!$A$2:$A$66,MATCH(B63,BD_PT!$B$2:$B$66,0)),""))</f>
        <v/>
      </c>
      <c r="D63" s="24" t="str">
        <f t="array" ref="D63">IF(B63="","",IFERROR(INDEX(BD_PT!$C$2:$C$66,MATCH(B63,BD_PT!$B$2:$B$66,0))*IF(A63="",1,A63),""))</f>
        <v/>
      </c>
      <c r="E63" s="24"/>
      <c r="F63" s="24"/>
    </row>
    <row r="64" ht="15.75" customHeight="1">
      <c r="A64" s="34"/>
      <c r="B64" s="24"/>
      <c r="C64" s="24" t="str">
        <f t="array" ref="C64">IF(B64="","",IFERROR(INDEX(BD_PT!$A$2:$A$66,MATCH(B64,BD_PT!$B$2:$B$66,0)),""))</f>
        <v/>
      </c>
      <c r="D64" s="24" t="str">
        <f t="array" ref="D64">IF(B64="","",IFERROR(INDEX(BD_PT!$C$2:$C$66,MATCH(B64,BD_PT!$B$2:$B$66,0))*IF(A64="",1,A64),""))</f>
        <v/>
      </c>
      <c r="E64" s="24"/>
      <c r="F64" s="24"/>
    </row>
    <row r="65" ht="15.75" customHeight="1">
      <c r="A65" s="34"/>
      <c r="B65" s="24"/>
      <c r="C65" s="24" t="str">
        <f t="array" ref="C65">IF(B65="","",IFERROR(INDEX(BD_PT!$A$2:$A$66,MATCH(B65,BD_PT!$B$2:$B$66,0)),""))</f>
        <v/>
      </c>
      <c r="D65" s="24" t="str">
        <f t="array" ref="D65">IF(B65="","",IFERROR(INDEX(BD_PT!$C$2:$C$66,MATCH(B65,BD_PT!$B$2:$B$66,0))*IF(A65="",1,A65),""))</f>
        <v/>
      </c>
      <c r="E65" s="24"/>
      <c r="F65" s="24"/>
    </row>
    <row r="66" ht="15.75" customHeight="1">
      <c r="A66" s="34"/>
      <c r="B66" s="24"/>
      <c r="C66" s="24" t="str">
        <f t="array" ref="C66">IF(B66="","",IFERROR(INDEX(BD_PT!$A$2:$A$66,MATCH(B66,BD_PT!$B$2:$B$66,0)),""))</f>
        <v/>
      </c>
      <c r="D66" s="24" t="str">
        <f t="array" ref="D66">IF(B66="","",IFERROR(INDEX(BD_PT!$C$2:$C$66,MATCH(B66,BD_PT!$B$2:$B$66,0))*IF(A66="",1,A66),""))</f>
        <v/>
      </c>
      <c r="E66" s="24"/>
      <c r="F66" s="24"/>
    </row>
    <row r="67" ht="15.75" customHeight="1">
      <c r="A67" s="34"/>
      <c r="B67" s="24"/>
      <c r="C67" s="24" t="str">
        <f t="array" ref="C67">IF(B67="","",IFERROR(INDEX(BD_PT!$A$2:$A$66,MATCH(B67,BD_PT!$B$2:$B$66,0)),""))</f>
        <v/>
      </c>
      <c r="D67" s="24" t="str">
        <f t="array" ref="D67">IF(B67="","",IFERROR(INDEX(BD_PT!$C$2:$C$66,MATCH(B67,BD_PT!$B$2:$B$66,0))*IF(A67="",1,A67),""))</f>
        <v/>
      </c>
      <c r="E67" s="24"/>
      <c r="F67" s="24"/>
    </row>
    <row r="68" ht="15.75" customHeight="1">
      <c r="A68" s="34"/>
      <c r="B68" s="24"/>
      <c r="C68" s="24" t="str">
        <f t="array" ref="C68">IF(B68="","",IFERROR(INDEX(BD_PT!$A$2:$A$66,MATCH(B68,BD_PT!$B$2:$B$66,0)),""))</f>
        <v/>
      </c>
      <c r="D68" s="24" t="str">
        <f t="array" ref="D68">IF(B68="","",IFERROR(INDEX(BD_PT!$C$2:$C$66,MATCH(B68,BD_PT!$B$2:$B$66,0))*IF(A68="",1,A68),""))</f>
        <v/>
      </c>
      <c r="E68" s="24"/>
      <c r="F68" s="24"/>
    </row>
    <row r="69" ht="15.75" customHeight="1">
      <c r="A69" s="34"/>
      <c r="B69" s="24"/>
      <c r="C69" s="24" t="str">
        <f t="array" ref="C69">IF(B69="","",IFERROR(INDEX(BD_PT!$A$2:$A$66,MATCH(B69,BD_PT!$B$2:$B$66,0)),""))</f>
        <v/>
      </c>
      <c r="D69" s="24" t="str">
        <f t="array" ref="D69">IF(B69="","",IFERROR(INDEX(BD_PT!$C$2:$C$66,MATCH(B69,BD_PT!$B$2:$B$66,0))*IF(A69="",1,A69),""))</f>
        <v/>
      </c>
      <c r="E69" s="24"/>
      <c r="F69" s="24"/>
    </row>
    <row r="70" ht="15.75" customHeight="1">
      <c r="A70" s="34"/>
      <c r="B70" s="24"/>
      <c r="C70" s="24" t="str">
        <f t="array" ref="C70">IF(B70="","",IFERROR(INDEX(BD_PT!$A$2:$A$66,MATCH(B70,BD_PT!$B$2:$B$66,0)),""))</f>
        <v/>
      </c>
      <c r="D70" s="24" t="str">
        <f t="array" ref="D70">IF(B70="","",IFERROR(INDEX(BD_PT!$C$2:$C$66,MATCH(B70,BD_PT!$B$2:$B$66,0))*IF(A70="",1,A70),""))</f>
        <v/>
      </c>
      <c r="E70" s="24"/>
      <c r="F70" s="24"/>
    </row>
    <row r="71" ht="15.75" customHeight="1">
      <c r="A71" s="34"/>
      <c r="B71" s="24"/>
      <c r="C71" s="24" t="str">
        <f t="array" ref="C71">IF(B71="","",IFERROR(INDEX(BD_PT!$A$2:$A$66,MATCH(B71,BD_PT!$B$2:$B$66,0)),""))</f>
        <v/>
      </c>
      <c r="D71" s="24" t="str">
        <f t="array" ref="D71">IF(B71="","",IFERROR(INDEX(BD_PT!$C$2:$C$66,MATCH(B71,BD_PT!$B$2:$B$66,0))*IF(A71="",1,A71),""))</f>
        <v/>
      </c>
      <c r="E71" s="24"/>
      <c r="F71" s="24"/>
    </row>
    <row r="72" ht="15.75" customHeight="1">
      <c r="A72" s="34"/>
      <c r="B72" s="24"/>
      <c r="C72" s="24" t="str">
        <f t="array" ref="C72">IF(B72="","",IFERROR(INDEX(BD_PT!$A$2:$A$66,MATCH(B72,BD_PT!$B$2:$B$66,0)),""))</f>
        <v/>
      </c>
      <c r="D72" s="24" t="str">
        <f t="array" ref="D72">IF(B72="","",IFERROR(INDEX(BD_PT!$C$2:$C$66,MATCH(B72,BD_PT!$B$2:$B$66,0))*IF(A72="",1,A72),""))</f>
        <v/>
      </c>
      <c r="E72" s="24"/>
      <c r="F72" s="24"/>
    </row>
    <row r="73" ht="15.75" customHeight="1">
      <c r="A73" s="34"/>
      <c r="B73" s="24"/>
      <c r="C73" s="24" t="str">
        <f t="array" ref="C73">IF(B73="","",IFERROR(INDEX(BD_PT!$A$2:$A$66,MATCH(B73,BD_PT!$B$2:$B$66,0)),""))</f>
        <v/>
      </c>
      <c r="D73" s="24" t="str">
        <f t="array" ref="D73">IF(B73="","",IFERROR(INDEX(BD_PT!$C$2:$C$66,MATCH(B73,BD_PT!$B$2:$B$66,0))*IF(A73="",1,A73),""))</f>
        <v/>
      </c>
      <c r="E73" s="24"/>
      <c r="F73" s="24"/>
    </row>
    <row r="74" ht="15.75" customHeight="1">
      <c r="A74" s="34"/>
      <c r="B74" s="24"/>
      <c r="C74" s="24" t="str">
        <f t="array" ref="C74">IF(B74="","",IFERROR(INDEX(BD_PT!$A$2:$A$66,MATCH(B74,BD_PT!$B$2:$B$66,0)),""))</f>
        <v/>
      </c>
      <c r="D74" s="24" t="str">
        <f t="array" ref="D74">IF(B74="","",IFERROR(INDEX(BD_PT!$C$2:$C$66,MATCH(B74,BD_PT!$B$2:$B$66,0))*IF(A74="",1,A74),""))</f>
        <v/>
      </c>
      <c r="E74" s="24"/>
      <c r="F74" s="24"/>
    </row>
    <row r="75" ht="15.75" customHeight="1">
      <c r="A75" s="34"/>
      <c r="B75" s="24"/>
      <c r="C75" s="24" t="str">
        <f t="array" ref="C75">IF(B75="","",IFERROR(INDEX(BD_PT!$A$2:$A$66,MATCH(B75,BD_PT!$B$2:$B$66,0)),""))</f>
        <v/>
      </c>
      <c r="D75" s="24" t="str">
        <f t="array" ref="D75">IF(B75="","",IFERROR(INDEX(BD_PT!$C$2:$C$66,MATCH(B75,BD_PT!$B$2:$B$66,0))*IF(A75="",1,A75),""))</f>
        <v/>
      </c>
      <c r="E75" s="24"/>
      <c r="F75" s="24"/>
    </row>
    <row r="76" ht="15.75" customHeight="1">
      <c r="A76" s="34"/>
      <c r="B76" s="24"/>
      <c r="C76" s="24" t="str">
        <f t="array" ref="C76">IF(B76="","",IFERROR(INDEX(BD_PT!$A$2:$A$66,MATCH(B76,BD_PT!$B$2:$B$66,0)),""))</f>
        <v/>
      </c>
      <c r="D76" s="24" t="str">
        <f t="array" ref="D76">IF(B76="","",IFERROR(INDEX(BD_PT!$C$2:$C$66,MATCH(B76,BD_PT!$B$2:$B$66,0))*IF(A76="",1,A76),""))</f>
        <v/>
      </c>
      <c r="E76" s="24"/>
      <c r="F76" s="24"/>
    </row>
    <row r="77" ht="15.75" customHeight="1">
      <c r="A77" s="34"/>
      <c r="B77" s="24"/>
      <c r="C77" s="24" t="str">
        <f t="array" ref="C77">IF(B77="","",IFERROR(INDEX(BD_PT!$A$2:$A$66,MATCH(B77,BD_PT!$B$2:$B$66,0)),""))</f>
        <v/>
      </c>
      <c r="D77" s="24" t="str">
        <f t="array" ref="D77">IF(B77="","",IFERROR(INDEX(BD_PT!$C$2:$C$66,MATCH(B77,BD_PT!$B$2:$B$66,0))*IF(A77="",1,A77),""))</f>
        <v/>
      </c>
      <c r="E77" s="24"/>
      <c r="F77" s="24"/>
    </row>
    <row r="78" ht="15.75" customHeight="1">
      <c r="A78" s="34"/>
      <c r="B78" s="24"/>
      <c r="C78" s="24" t="str">
        <f t="array" ref="C78">IF(B78="","",IFERROR(INDEX(BD_PT!$A$2:$A$66,MATCH(B78,BD_PT!$B$2:$B$66,0)),""))</f>
        <v/>
      </c>
      <c r="D78" s="24" t="str">
        <f t="array" ref="D78">IF(B78="","",IFERROR(INDEX(BD_PT!$C$2:$C$66,MATCH(B78,BD_PT!$B$2:$B$66,0))*IF(A78="",1,A78),""))</f>
        <v/>
      </c>
      <c r="E78" s="24"/>
      <c r="F78" s="24"/>
    </row>
    <row r="79" ht="15.75" customHeight="1">
      <c r="A79" s="34"/>
      <c r="B79" s="24"/>
      <c r="C79" s="24" t="str">
        <f t="array" ref="C79">IF(B79="","",IFERROR(INDEX(BD_PT!$A$2:$A$66,MATCH(B79,BD_PT!$B$2:$B$66,0)),""))</f>
        <v/>
      </c>
      <c r="D79" s="24" t="str">
        <f t="array" ref="D79">IF(B79="","",IFERROR(INDEX(BD_PT!$C$2:$C$66,MATCH(B79,BD_PT!$B$2:$B$66,0))*IF(A79="",1,A79),""))</f>
        <v/>
      </c>
      <c r="E79" s="24"/>
      <c r="F79" s="24"/>
    </row>
    <row r="80" ht="15.75" customHeight="1">
      <c r="A80" s="34"/>
      <c r="B80" s="24"/>
      <c r="C80" s="24" t="str">
        <f t="array" ref="C80">IF(B80="","",IFERROR(INDEX(BD_PT!$A$2:$A$66,MATCH(B80,BD_PT!$B$2:$B$66,0)),""))</f>
        <v/>
      </c>
      <c r="D80" s="24" t="str">
        <f t="array" ref="D80">IF(B80="","",IFERROR(INDEX(BD_PT!$C$2:$C$66,MATCH(B80,BD_PT!$B$2:$B$66,0))*IF(A80="",1,A80),""))</f>
        <v/>
      </c>
      <c r="E80" s="24"/>
      <c r="F80" s="24"/>
    </row>
    <row r="81" ht="15.75" customHeight="1">
      <c r="A81" s="34"/>
      <c r="B81" s="24"/>
      <c r="C81" s="24" t="str">
        <f t="array" ref="C81">IF(B81="","",IFERROR(INDEX(BD_PT!$A$2:$A$66,MATCH(B81,BD_PT!$B$2:$B$66,0)),""))</f>
        <v/>
      </c>
      <c r="D81" s="24" t="str">
        <f t="array" ref="D81">IF(B81="","",IFERROR(INDEX(BD_PT!$C$2:$C$66,MATCH(B81,BD_PT!$B$2:$B$66,0))*IF(A81="",1,A81),""))</f>
        <v/>
      </c>
      <c r="E81" s="24"/>
      <c r="F81" s="24"/>
    </row>
    <row r="82" ht="15.75" customHeight="1">
      <c r="A82" s="34"/>
      <c r="B82" s="24"/>
      <c r="C82" s="24" t="str">
        <f t="array" ref="C82">IF(B82="","",IFERROR(INDEX(BD_PT!$A$2:$A$66,MATCH(B82,BD_PT!$B$2:$B$66,0)),""))</f>
        <v/>
      </c>
      <c r="D82" s="24" t="str">
        <f t="array" ref="D82">IF(B82="","",IFERROR(INDEX(BD_PT!$C$2:$C$66,MATCH(B82,BD_PT!$B$2:$B$66,0))*IF(A82="",1,A82),""))</f>
        <v/>
      </c>
      <c r="E82" s="24"/>
      <c r="F82" s="24"/>
    </row>
    <row r="83" ht="15.75" customHeight="1">
      <c r="A83" s="34"/>
      <c r="B83" s="24"/>
      <c r="C83" s="24" t="str">
        <f t="array" ref="C83">IF(B83="","",IFERROR(INDEX(BD_PT!$A$2:$A$66,MATCH(B83,BD_PT!$B$2:$B$66,0)),""))</f>
        <v/>
      </c>
      <c r="D83" s="24" t="str">
        <f t="array" ref="D83">IF(B83="","",IFERROR(INDEX(BD_PT!$C$2:$C$66,MATCH(B83,BD_PT!$B$2:$B$66,0))*IF(A83="",1,A83),""))</f>
        <v/>
      </c>
      <c r="E83" s="24"/>
      <c r="F83" s="24"/>
    </row>
    <row r="84" ht="15.75" customHeight="1">
      <c r="A84" s="34"/>
      <c r="B84" s="24"/>
      <c r="C84" s="24" t="str">
        <f t="array" ref="C84">IF(B84="","",IFERROR(INDEX(BD_PT!$A$2:$A$66,MATCH(B84,BD_PT!$B$2:$B$66,0)),""))</f>
        <v/>
      </c>
      <c r="D84" s="24" t="str">
        <f t="array" ref="D84">IF(B84="","",IFERROR(INDEX(BD_PT!$C$2:$C$66,MATCH(B84,BD_PT!$B$2:$B$66,0))*IF(A84="",1,A84),""))</f>
        <v/>
      </c>
      <c r="E84" s="24"/>
      <c r="F84" s="24"/>
    </row>
    <row r="85" ht="15.75" customHeight="1">
      <c r="A85" s="34"/>
      <c r="B85" s="24"/>
      <c r="C85" s="24" t="str">
        <f t="array" ref="C85">IF(B85="","",IFERROR(INDEX(BD_PT!$A$2:$A$66,MATCH(B85,BD_PT!$B$2:$B$66,0)),""))</f>
        <v/>
      </c>
      <c r="D85" s="24" t="str">
        <f t="array" ref="D85">IF(B85="","",IFERROR(INDEX(BD_PT!$C$2:$C$66,MATCH(B85,BD_PT!$B$2:$B$66,0))*IF(A85="",1,A85),""))</f>
        <v/>
      </c>
      <c r="E85" s="24"/>
      <c r="F85" s="24"/>
    </row>
    <row r="86" ht="15.75" customHeight="1">
      <c r="A86" s="34"/>
      <c r="B86" s="24"/>
      <c r="C86" s="24" t="str">
        <f t="array" ref="C86">IF(B86="","",IFERROR(INDEX(BD_PT!$A$2:$A$66,MATCH(B86,BD_PT!$B$2:$B$66,0)),""))</f>
        <v/>
      </c>
      <c r="D86" s="24" t="str">
        <f t="array" ref="D86">IF(B86="","",IFERROR(INDEX(BD_PT!$C$2:$C$66,MATCH(B86,BD_PT!$B$2:$B$66,0))*IF(A86="",1,A86),""))</f>
        <v/>
      </c>
      <c r="E86" s="24"/>
      <c r="F86" s="24"/>
    </row>
    <row r="87" ht="15.75" customHeight="1">
      <c r="A87" s="34"/>
      <c r="B87" s="24"/>
      <c r="C87" s="24" t="str">
        <f t="array" ref="C87">IF(B87="","",IFERROR(INDEX(BD_PT!$A$2:$A$66,MATCH(B87,BD_PT!$B$2:$B$66,0)),""))</f>
        <v/>
      </c>
      <c r="D87" s="24" t="str">
        <f t="array" ref="D87">IF(B87="","",IFERROR(INDEX(BD_PT!$C$2:$C$66,MATCH(B87,BD_PT!$B$2:$B$66,0))*IF(A87="",1,A87),""))</f>
        <v/>
      </c>
      <c r="E87" s="24"/>
      <c r="F87" s="24"/>
    </row>
    <row r="88" ht="15.75" customHeight="1">
      <c r="A88" s="34"/>
      <c r="B88" s="24"/>
      <c r="C88" s="24" t="str">
        <f t="array" ref="C88">IF(B88="","",IFERROR(INDEX(BD_PT!$A$2:$A$66,MATCH(B88,BD_PT!$B$2:$B$66,0)),""))</f>
        <v/>
      </c>
      <c r="D88" s="24" t="str">
        <f t="array" ref="D88">IF(B88="","",IFERROR(INDEX(BD_PT!$C$2:$C$66,MATCH(B88,BD_PT!$B$2:$B$66,0))*IF(A88="",1,A88),""))</f>
        <v/>
      </c>
      <c r="E88" s="24"/>
      <c r="F88" s="24"/>
    </row>
    <row r="89" ht="15.75" customHeight="1">
      <c r="A89" s="34"/>
      <c r="B89" s="24"/>
      <c r="C89" s="24" t="str">
        <f t="array" ref="C89">IF(B89="","",IFERROR(INDEX(BD_PT!$A$2:$A$66,MATCH(B89,BD_PT!$B$2:$B$66,0)),""))</f>
        <v/>
      </c>
      <c r="D89" s="24" t="str">
        <f t="array" ref="D89">IF(B89="","",IFERROR(INDEX(BD_PT!$C$2:$C$66,MATCH(B89,BD_PT!$B$2:$B$66,0))*IF(A89="",1,A89),""))</f>
        <v/>
      </c>
      <c r="E89" s="24"/>
      <c r="F89" s="24"/>
    </row>
    <row r="90" ht="15.75" customHeight="1">
      <c r="A90" s="34"/>
      <c r="B90" s="24"/>
      <c r="C90" s="24" t="str">
        <f t="array" ref="C90">IF(B90="","",IFERROR(INDEX(BD_PT!$A$2:$A$66,MATCH(B90,BD_PT!$B$2:$B$66,0)),""))</f>
        <v/>
      </c>
      <c r="D90" s="24" t="str">
        <f t="array" ref="D90">IF(B90="","",IFERROR(INDEX(BD_PT!$C$2:$C$66,MATCH(B90,BD_PT!$B$2:$B$66,0))*IF(A90="",1,A90),""))</f>
        <v/>
      </c>
      <c r="E90" s="24"/>
      <c r="F90" s="24"/>
    </row>
    <row r="91" ht="15.75" customHeight="1">
      <c r="A91" s="34"/>
      <c r="B91" s="24"/>
      <c r="C91" s="24" t="str">
        <f t="array" ref="C91">IF(B91="","",IFERROR(INDEX(BD_PT!$A$2:$A$66,MATCH(B91,BD_PT!$B$2:$B$66,0)),""))</f>
        <v/>
      </c>
      <c r="D91" s="24" t="str">
        <f t="array" ref="D91">IF(B91="","",IFERROR(INDEX(BD_PT!$C$2:$C$66,MATCH(B91,BD_PT!$B$2:$B$66,0))*IF(A91="",1,A91),""))</f>
        <v/>
      </c>
      <c r="E91" s="24"/>
      <c r="F91" s="24"/>
    </row>
    <row r="92" ht="15.75" customHeight="1">
      <c r="A92" s="34"/>
      <c r="B92" s="24"/>
      <c r="C92" s="24" t="str">
        <f t="array" ref="C92">IF(B92="","",IFERROR(INDEX(BD_PT!$A$2:$A$66,MATCH(B92,BD_PT!$B$2:$B$66,0)),""))</f>
        <v/>
      </c>
      <c r="D92" s="24" t="str">
        <f t="array" ref="D92">IF(B92="","",IFERROR(INDEX(BD_PT!$C$2:$C$66,MATCH(B92,BD_PT!$B$2:$B$66,0))*IF(A92="",1,A92),""))</f>
        <v/>
      </c>
      <c r="E92" s="24"/>
      <c r="F92" s="24"/>
    </row>
    <row r="93" ht="15.75" customHeight="1">
      <c r="A93" s="34"/>
      <c r="B93" s="24"/>
      <c r="C93" s="24" t="str">
        <f t="array" ref="C93">IF(B93="","",IFERROR(INDEX(BD_PT!$A$2:$A$66,MATCH(B93,BD_PT!$B$2:$B$66,0)),""))</f>
        <v/>
      </c>
      <c r="D93" s="24" t="str">
        <f t="array" ref="D93">IF(B93="","",IFERROR(INDEX(BD_PT!$C$2:$C$66,MATCH(B93,BD_PT!$B$2:$B$66,0))*IF(A93="",1,A93),""))</f>
        <v/>
      </c>
      <c r="E93" s="24"/>
      <c r="F93" s="24"/>
    </row>
    <row r="94" ht="15.75" customHeight="1">
      <c r="A94" s="34"/>
      <c r="B94" s="24"/>
      <c r="C94" s="24" t="str">
        <f t="array" ref="C94">IF(B94="","",IFERROR(INDEX(BD_PT!$A$2:$A$66,MATCH(B94,BD_PT!$B$2:$B$66,0)),""))</f>
        <v/>
      </c>
      <c r="D94" s="24" t="str">
        <f t="array" ref="D94">IF(B94="","",IFERROR(INDEX(BD_PT!$C$2:$C$66,MATCH(B94,BD_PT!$B$2:$B$66,0))*IF(A94="",1,A94),""))</f>
        <v/>
      </c>
      <c r="E94" s="24"/>
      <c r="F94" s="24"/>
    </row>
    <row r="95" ht="15.75" customHeight="1">
      <c r="A95" s="34"/>
      <c r="B95" s="24"/>
      <c r="C95" s="24" t="str">
        <f t="array" ref="C95">IF(B95="","",IFERROR(INDEX(BD_PT!$A$2:$A$66,MATCH(B95,BD_PT!$B$2:$B$66,0)),""))</f>
        <v/>
      </c>
      <c r="D95" s="24" t="str">
        <f t="array" ref="D95">IF(B95="","",IFERROR(INDEX(BD_PT!$C$2:$C$66,MATCH(B95,BD_PT!$B$2:$B$66,0))*IF(A95="",1,A95),""))</f>
        <v/>
      </c>
      <c r="E95" s="24"/>
      <c r="F95" s="24"/>
    </row>
    <row r="96" ht="15.75" customHeight="1">
      <c r="A96" s="34"/>
      <c r="B96" s="24"/>
      <c r="C96" s="24" t="str">
        <f t="array" ref="C96">IF(B96="","",IFERROR(INDEX(BD_PT!$A$2:$A$66,MATCH(B96,BD_PT!$B$2:$B$66,0)),""))</f>
        <v/>
      </c>
      <c r="D96" s="24" t="str">
        <f t="array" ref="D96">IF(B96="","",IFERROR(INDEX(BD_PT!$C$2:$C$66,MATCH(B96,BD_PT!$B$2:$B$66,0))*IF(A96="",1,A96),""))</f>
        <v/>
      </c>
      <c r="E96" s="24"/>
      <c r="F96" s="24"/>
    </row>
    <row r="97" ht="15.75" customHeight="1">
      <c r="A97" s="31"/>
      <c r="B97" s="26"/>
      <c r="C97" s="26" t="str">
        <f t="array" ref="C97">IF(B97="","",IFERROR(INDEX(BD_PT!$A$2:$A$47,MATCH(B97,BD_PT!$B$2:$B$47,0)),""))</f>
        <v/>
      </c>
      <c r="D97" s="26" t="str">
        <f t="array" ref="D97">IF(B97="","",IFERROR(INDEX(BD_PT!$C$2:$C$47,MATCH(B97,BD_PT!$B$2:$B$47,0))*IF(A97="",1,A97),""))</f>
        <v/>
      </c>
    </row>
    <row r="98" ht="15.75" customHeight="1">
      <c r="A98" s="31"/>
      <c r="B98" s="26"/>
      <c r="C98" s="26" t="str">
        <f t="array" ref="C98">IF(B98="","",IFERROR(INDEX(BD_PT!$A$2:$A$47,MATCH(B98,BD_PT!$B$2:$B$47,0)),""))</f>
        <v/>
      </c>
      <c r="D98" s="26" t="str">
        <f t="array" ref="D98">IF(B98="","",IFERROR(INDEX(BD_PT!$C$2:$C$47,MATCH(B98,BD_PT!$B$2:$B$47,0))*IF(A98="",1,A98),""))</f>
        <v/>
      </c>
    </row>
    <row r="99" ht="15.75" customHeight="1">
      <c r="A99" s="31"/>
      <c r="B99" s="26"/>
      <c r="C99" s="26" t="str">
        <f t="array" ref="C99">IF(B99="","",IFERROR(INDEX(BD_PT!$A$2:$A$47,MATCH(B99,BD_PT!$B$2:$B$47,0)),""))</f>
        <v/>
      </c>
      <c r="D99" s="26" t="str">
        <f t="array" ref="D99">IF(B99="","",IFERROR(INDEX(BD_PT!$C$2:$C$47,MATCH(B99,BD_PT!$B$2:$B$47,0))*IF(A99="",1,A99),""))</f>
        <v/>
      </c>
    </row>
    <row r="100" ht="15.75" customHeight="1">
      <c r="A100" s="31"/>
      <c r="B100" s="26"/>
      <c r="C100" s="26" t="str">
        <f t="array" ref="C100">IF(B100="","",IFERROR(INDEX(BD_PT!$A$2:$A$47,MATCH(B100,BD_PT!$B$2:$B$47,0)),""))</f>
        <v/>
      </c>
      <c r="D100" s="26" t="str">
        <f t="array" ref="D100">IF(B100="","",IFERROR(INDEX(BD_PT!$C$2:$C$47,MATCH(B100,BD_PT!$B$2:$B$47,0))*IF(A100="",1,A100),""))</f>
        <v/>
      </c>
    </row>
    <row r="101" ht="15.75" customHeight="1">
      <c r="A101" s="31"/>
      <c r="B101" s="26"/>
      <c r="C101" s="26" t="str">
        <f t="array" ref="C101">IF(B101="","",IFERROR(INDEX(BD_PT!$A$2:$A$47,MATCH(B101,BD_PT!$B$2:$B$47,0)),""))</f>
        <v/>
      </c>
      <c r="D101" s="26" t="str">
        <f t="array" ref="D101">IF(B101="","",IFERROR(INDEX(BD_PT!$C$2:$C$47,MATCH(B101,BD_PT!$B$2:$B$47,0))*IF(A101="",1,A101),""))</f>
        <v/>
      </c>
    </row>
    <row r="102" ht="15.75" customHeight="1">
      <c r="A102" s="31"/>
      <c r="B102" s="26"/>
      <c r="C102" s="26" t="str">
        <f t="array" ref="C102">IF(B102="","",IFERROR(INDEX(BD_PT!$A$2:$A$47,MATCH(B102,BD_PT!$B$2:$B$47,0)),""))</f>
        <v/>
      </c>
      <c r="D102" s="26" t="str">
        <f t="array" ref="D102">IF(B102="","",IFERROR(INDEX(BD_PT!$C$2:$C$47,MATCH(B102,BD_PT!$B$2:$B$47,0))*IF(A102="",1,A102),""))</f>
        <v/>
      </c>
    </row>
    <row r="103" ht="15.75" customHeight="1">
      <c r="A103" s="31"/>
      <c r="B103" s="26"/>
      <c r="C103" s="26" t="str">
        <f t="array" ref="C103">IF(B103="","",IFERROR(INDEX(BD_PT!$A$2:$A$47,MATCH(B103,BD_PT!$B$2:$B$47,0)),""))</f>
        <v/>
      </c>
      <c r="D103" s="26" t="str">
        <f t="array" ref="D103">IF(B103="","",IFERROR(INDEX(BD_PT!$C$2:$C$47,MATCH(B103,BD_PT!$B$2:$B$47,0))*IF(A103="",1,A103),""))</f>
        <v/>
      </c>
    </row>
    <row r="104" ht="15.75" customHeight="1">
      <c r="A104" s="31"/>
      <c r="B104" s="26"/>
      <c r="C104" s="26" t="str">
        <f t="array" ref="C104">IF(B104="","",IFERROR(INDEX(BD_PT!$A$2:$A$47,MATCH(B104,BD_PT!$B$2:$B$47,0)),""))</f>
        <v/>
      </c>
      <c r="D104" s="26" t="str">
        <f t="array" ref="D104">IF(B104="","",IFERROR(INDEX(BD_PT!$C$2:$C$47,MATCH(B104,BD_PT!$B$2:$B$47,0))*IF(A104="",1,A104),""))</f>
        <v/>
      </c>
    </row>
    <row r="105" ht="15.75" customHeight="1">
      <c r="A105" s="31"/>
      <c r="B105" s="26"/>
      <c r="C105" s="26" t="str">
        <f t="array" ref="C105">IF(B105="","",IFERROR(INDEX(BD_PT!$A$2:$A$47,MATCH(B105,BD_PT!$B$2:$B$47,0)),""))</f>
        <v/>
      </c>
      <c r="D105" s="26" t="str">
        <f t="array" ref="D105">IF(B105="","",IFERROR(INDEX(BD_PT!$C$2:$C$47,MATCH(B105,BD_PT!$B$2:$B$47,0))*IF(A105="",1,A105),""))</f>
        <v/>
      </c>
    </row>
    <row r="106" ht="15.75" customHeight="1">
      <c r="A106" s="31"/>
      <c r="B106" s="26"/>
      <c r="C106" s="26" t="str">
        <f t="array" ref="C106">IF(B106="","",IFERROR(INDEX(BD_PT!$A$2:$A$47,MATCH(B106,BD_PT!$B$2:$B$47,0)),""))</f>
        <v/>
      </c>
      <c r="D106" s="26" t="str">
        <f t="array" ref="D106">IF(B106="","",IFERROR(INDEX(BD_PT!$C$2:$C$47,MATCH(B106,BD_PT!$B$2:$B$47,0))*IF(A106="",1,A106),""))</f>
        <v/>
      </c>
    </row>
    <row r="107" ht="15.75" customHeight="1">
      <c r="A107" s="31"/>
      <c r="B107" s="26"/>
      <c r="C107" s="26" t="str">
        <f t="array" ref="C107">IF(B107="","",IFERROR(INDEX(BD_PT!$A$2:$A$47,MATCH(B107,BD_PT!$B$2:$B$47,0)),""))</f>
        <v/>
      </c>
      <c r="D107" s="26" t="str">
        <f t="array" ref="D107">IF(B107="","",IFERROR(INDEX(BD_PT!$C$2:$C$47,MATCH(B107,BD_PT!$B$2:$B$47,0))*IF(A107="",1,A107),""))</f>
        <v/>
      </c>
    </row>
    <row r="108" ht="15.75" customHeight="1">
      <c r="A108" s="31"/>
      <c r="B108" s="26"/>
      <c r="C108" s="26" t="str">
        <f t="array" ref="C108">IF(B108="","",IFERROR(INDEX(BD_PT!$A$2:$A$47,MATCH(B108,BD_PT!$B$2:$B$47,0)),""))</f>
        <v/>
      </c>
      <c r="D108" s="26" t="str">
        <f t="array" ref="D108">IF(B108="","",IFERROR(INDEX(BD_PT!$C$2:$C$47,MATCH(B108,BD_PT!$B$2:$B$47,0))*IF(A108="",1,A108),""))</f>
        <v/>
      </c>
    </row>
    <row r="109" ht="15.75" customHeight="1">
      <c r="A109" s="31"/>
      <c r="B109" s="26"/>
      <c r="C109" s="26" t="str">
        <f t="array" ref="C109">IF(B109="","",IFERROR(INDEX(BD_PT!$A$2:$A$47,MATCH(B109,BD_PT!$B$2:$B$47,0)),""))</f>
        <v/>
      </c>
      <c r="D109" s="26" t="str">
        <f t="array" ref="D109">IF(B109="","",IFERROR(INDEX(BD_PT!$C$2:$C$47,MATCH(B109,BD_PT!$B$2:$B$47,0))*IF(A109="",1,A109),""))</f>
        <v/>
      </c>
    </row>
    <row r="110" ht="15.75" customHeight="1">
      <c r="A110" s="31"/>
      <c r="B110" s="26"/>
      <c r="C110" s="26" t="str">
        <f t="array" ref="C110">IF(B110="","",IFERROR(INDEX(BD_PT!$A$2:$A$47,MATCH(B110,BD_PT!$B$2:$B$47,0)),""))</f>
        <v/>
      </c>
      <c r="D110" s="26" t="str">
        <f t="array" ref="D110">IF(B110="","",IFERROR(INDEX(BD_PT!$C$2:$C$47,MATCH(B110,BD_PT!$B$2:$B$47,0))*IF(A110="",1,A110),""))</f>
        <v/>
      </c>
    </row>
    <row r="111" ht="15.75" customHeight="1">
      <c r="A111" s="31"/>
      <c r="B111" s="26"/>
      <c r="C111" s="26" t="str">
        <f t="array" ref="C111">IF(B111="","",IFERROR(INDEX(BD_PT!$A$2:$A$47,MATCH(B111,BD_PT!$B$2:$B$47,0)),""))</f>
        <v/>
      </c>
      <c r="D111" s="26" t="str">
        <f t="array" ref="D111">IF(B111="","",IFERROR(INDEX(BD_PT!$C$2:$C$47,MATCH(B111,BD_PT!$B$2:$B$47,0))*IF(A111="",1,A111),""))</f>
        <v/>
      </c>
    </row>
    <row r="112" ht="15.75" customHeight="1">
      <c r="A112" s="31"/>
      <c r="B112" s="26"/>
      <c r="C112" s="26" t="str">
        <f t="array" ref="C112">IF(B112="","",IFERROR(INDEX(BD_PT!$A$2:$A$47,MATCH(B112,BD_PT!$B$2:$B$47,0)),""))</f>
        <v/>
      </c>
      <c r="D112" s="26" t="str">
        <f t="array" ref="D112">IF(B112="","",IFERROR(INDEX(BD_PT!$C$2:$C$47,MATCH(B112,BD_PT!$B$2:$B$47,0))*IF(A112="",1,A112),""))</f>
        <v/>
      </c>
    </row>
    <row r="113" ht="15.75" customHeight="1">
      <c r="A113" s="31"/>
      <c r="B113" s="26"/>
      <c r="C113" s="26" t="str">
        <f t="array" ref="C113">IF(B113="","",IFERROR(INDEX(BD_PT!$A$2:$A$47,MATCH(B113,BD_PT!$B$2:$B$47,0)),""))</f>
        <v/>
      </c>
      <c r="D113" s="26" t="str">
        <f t="array" ref="D113">IF(B113="","",IFERROR(INDEX(BD_PT!$C$2:$C$47,MATCH(B113,BD_PT!$B$2:$B$47,0))*IF(A113="",1,A113),""))</f>
        <v/>
      </c>
    </row>
    <row r="114" ht="15.75" customHeight="1">
      <c r="A114" s="31"/>
      <c r="B114" s="26"/>
      <c r="C114" s="26" t="str">
        <f t="array" ref="C114">IF(B114="","",IFERROR(INDEX(BD_PT!$A$2:$A$47,MATCH(B114,BD_PT!$B$2:$B$47,0)),""))</f>
        <v/>
      </c>
      <c r="D114" s="26" t="str">
        <f t="array" ref="D114">IF(B114="","",IFERROR(INDEX(BD_PT!$C$2:$C$47,MATCH(B114,BD_PT!$B$2:$B$47,0))*IF(A114="",1,A114),""))</f>
        <v/>
      </c>
    </row>
    <row r="115" ht="15.75" customHeight="1">
      <c r="A115" s="31"/>
      <c r="B115" s="26"/>
      <c r="C115" s="26" t="str">
        <f t="array" ref="C115">IF(B115="","",IFERROR(INDEX(BD_PT!$A$2:$A$47,MATCH(B115,BD_PT!$B$2:$B$47,0)),""))</f>
        <v/>
      </c>
      <c r="D115" s="26" t="str">
        <f t="array" ref="D115">IF(B115="","",IFERROR(INDEX(BD_PT!$C$2:$C$47,MATCH(B115,BD_PT!$B$2:$B$47,0))*IF(A115="",1,A115),""))</f>
        <v/>
      </c>
    </row>
    <row r="116" ht="15.75" customHeight="1">
      <c r="A116" s="31"/>
      <c r="B116" s="26"/>
      <c r="C116" s="26" t="str">
        <f t="array" ref="C116">IF(B116="","",IFERROR(INDEX(BD_PT!$A$2:$A$47,MATCH(B116,BD_PT!$B$2:$B$47,0)),""))</f>
        <v/>
      </c>
      <c r="D116" s="26" t="str">
        <f t="array" ref="D116">IF(B116="","",IFERROR(INDEX(BD_PT!$C$2:$C$47,MATCH(B116,BD_PT!$B$2:$B$47,0))*IF(A116="",1,A116),""))</f>
        <v/>
      </c>
    </row>
    <row r="117" ht="15.75" customHeight="1">
      <c r="A117" s="31"/>
      <c r="B117" s="26"/>
      <c r="C117" s="26" t="str">
        <f t="array" ref="C117">IF(B117="","",IFERROR(INDEX(BD_PT!$A$2:$A$47,MATCH(B117,BD_PT!$B$2:$B$47,0)),""))</f>
        <v/>
      </c>
      <c r="D117" s="26" t="str">
        <f t="array" ref="D117">IF(B117="","",IFERROR(INDEX(BD_PT!$C$2:$C$47,MATCH(B117,BD_PT!$B$2:$B$47,0))*IF(A117="",1,A117),""))</f>
        <v/>
      </c>
    </row>
    <row r="118" ht="15.75" customHeight="1">
      <c r="A118" s="31"/>
      <c r="B118" s="26"/>
      <c r="C118" s="26" t="str">
        <f t="array" ref="C118">IF(B118="","",IFERROR(INDEX(BD_PT!$A$2:$A$47,MATCH(B118,BD_PT!$B$2:$B$47,0)),""))</f>
        <v/>
      </c>
      <c r="D118" s="26" t="str">
        <f t="array" ref="D118">IF(B118="","",IFERROR(INDEX(BD_PT!$C$2:$C$47,MATCH(B118,BD_PT!$B$2:$B$47,0))*IF(A118="",1,A118),""))</f>
        <v/>
      </c>
    </row>
    <row r="119" ht="15.75" customHeight="1">
      <c r="A119" s="31"/>
      <c r="B119" s="26"/>
      <c r="C119" s="26" t="str">
        <f t="array" ref="C119">IF(B119="","",IFERROR(INDEX(BD_PT!$A$2:$A$47,MATCH(B119,BD_PT!$B$2:$B$47,0)),""))</f>
        <v/>
      </c>
      <c r="D119" s="26" t="str">
        <f t="array" ref="D119">IF(B119="","",IFERROR(INDEX(BD_PT!$C$2:$C$47,MATCH(B119,BD_PT!$B$2:$B$47,0))*IF(A119="",1,A119),""))</f>
        <v/>
      </c>
    </row>
    <row r="120" ht="15.75" customHeight="1">
      <c r="A120" s="31"/>
      <c r="B120" s="26"/>
      <c r="C120" s="26" t="str">
        <f t="array" ref="C120">IF(B120="","",IFERROR(INDEX(BD_PT!$A$2:$A$47,MATCH(B120,BD_PT!$B$2:$B$47,0)),""))</f>
        <v/>
      </c>
      <c r="D120" s="26" t="str">
        <f t="array" ref="D120">IF(B120="","",IFERROR(INDEX(BD_PT!$C$2:$C$47,MATCH(B120,BD_PT!$B$2:$B$47,0))*IF(A120="",1,A120),""))</f>
        <v/>
      </c>
    </row>
    <row r="121" ht="15.75" customHeight="1">
      <c r="A121" s="31"/>
      <c r="B121" s="26"/>
      <c r="C121" s="26" t="str">
        <f t="array" ref="C121">IF(B121="","",IFERROR(INDEX(BD_PT!$A$2:$A$47,MATCH(B121,BD_PT!$B$2:$B$47,0)),""))</f>
        <v/>
      </c>
      <c r="D121" s="26" t="str">
        <f t="array" ref="D121">IF(B121="","",IFERROR(INDEX(BD_PT!$C$2:$C$47,MATCH(B121,BD_PT!$B$2:$B$47,0))*IF(A121="",1,A121),""))</f>
        <v/>
      </c>
    </row>
    <row r="122" ht="15.75" customHeight="1">
      <c r="A122" s="31"/>
      <c r="B122" s="26"/>
      <c r="C122" s="26" t="str">
        <f t="array" ref="C122">IF(B122="","",IFERROR(INDEX(BD_PT!$A$2:$A$47,MATCH(B122,BD_PT!$B$2:$B$47,0)),""))</f>
        <v/>
      </c>
      <c r="D122" s="26" t="str">
        <f t="array" ref="D122">IF(B122="","",IFERROR(INDEX(BD_PT!$C$2:$C$47,MATCH(B122,BD_PT!$B$2:$B$47,0))*IF(A122="",1,A122),""))</f>
        <v/>
      </c>
    </row>
    <row r="123" ht="15.75" customHeight="1">
      <c r="A123" s="31"/>
      <c r="B123" s="26"/>
      <c r="C123" s="26" t="str">
        <f t="array" ref="C123">IF(B123="","",IFERROR(INDEX(BD_PT!$A$2:$A$47,MATCH(B123,BD_PT!$B$2:$B$47,0)),""))</f>
        <v/>
      </c>
      <c r="D123" s="26" t="str">
        <f t="array" ref="D123">IF(B123="","",IFERROR(INDEX(BD_PT!$C$2:$C$47,MATCH(B123,BD_PT!$B$2:$B$47,0))*IF(A123="",1,A123),""))</f>
        <v/>
      </c>
    </row>
    <row r="124" ht="15.75" customHeight="1">
      <c r="A124" s="31"/>
      <c r="B124" s="26"/>
      <c r="C124" s="26" t="str">
        <f t="array" ref="C124">IF(B124="","",IFERROR(INDEX(BD_PT!$A$2:$A$47,MATCH(B124,BD_PT!$B$2:$B$47,0)),""))</f>
        <v/>
      </c>
      <c r="D124" s="26" t="str">
        <f t="array" ref="D124">IF(B124="","",IFERROR(INDEX(BD_PT!$C$2:$C$47,MATCH(B124,BD_PT!$B$2:$B$47,0))*IF(A124="",1,A124),""))</f>
        <v/>
      </c>
    </row>
    <row r="125" ht="15.75" customHeight="1">
      <c r="A125" s="31"/>
      <c r="B125" s="26"/>
      <c r="C125" s="26" t="str">
        <f t="array" ref="C125">IF(B125="","",IFERROR(INDEX(BD_PT!$A$2:$A$47,MATCH(B125,BD_PT!$B$2:$B$47,0)),""))</f>
        <v/>
      </c>
      <c r="D125" s="26" t="str">
        <f t="array" ref="D125">IF(B125="","",IFERROR(INDEX(BD_PT!$C$2:$C$47,MATCH(B125,BD_PT!$B$2:$B$47,0))*IF(A125="",1,A125),""))</f>
        <v/>
      </c>
    </row>
    <row r="126" ht="15.75" customHeight="1">
      <c r="A126" s="31"/>
      <c r="B126" s="26"/>
      <c r="C126" s="26" t="str">
        <f t="array" ref="C126">IF(B126="","",IFERROR(INDEX(BD_PT!$A$2:$A$47,MATCH(B126,BD_PT!$B$2:$B$47,0)),""))</f>
        <v/>
      </c>
      <c r="D126" s="26" t="str">
        <f t="array" ref="D126">IF(B126="","",IFERROR(INDEX(BD_PT!$C$2:$C$47,MATCH(B126,BD_PT!$B$2:$B$47,0))*IF(A126="",1,A126),""))</f>
        <v/>
      </c>
    </row>
    <row r="127" ht="15.75" customHeight="1">
      <c r="A127" s="31"/>
      <c r="B127" s="26"/>
      <c r="C127" s="26" t="str">
        <f t="array" ref="C127">IF(B127="","",IFERROR(INDEX(BD_PT!$A$2:$A$47,MATCH(B127,BD_PT!$B$2:$B$47,0)),""))</f>
        <v/>
      </c>
      <c r="D127" s="26" t="str">
        <f t="array" ref="D127">IF(B127="","",IFERROR(INDEX(BD_PT!$C$2:$C$47,MATCH(B127,BD_PT!$B$2:$B$47,0))*IF(A127="",1,A127),""))</f>
        <v/>
      </c>
    </row>
    <row r="128" ht="15.75" customHeight="1">
      <c r="A128" s="31"/>
      <c r="B128" s="26"/>
      <c r="C128" s="26" t="str">
        <f t="array" ref="C128">IF(B128="","",IFERROR(INDEX(BD_PT!$A$2:$A$47,MATCH(B128,BD_PT!$B$2:$B$47,0)),""))</f>
        <v/>
      </c>
      <c r="D128" s="26" t="str">
        <f t="array" ref="D128">IF(B128="","",IFERROR(INDEX(BD_PT!$C$2:$C$47,MATCH(B128,BD_PT!$B$2:$B$47,0))*IF(A128="",1,A128),""))</f>
        <v/>
      </c>
    </row>
    <row r="129" ht="15.75" customHeight="1">
      <c r="A129" s="31"/>
      <c r="B129" s="26"/>
      <c r="C129" s="26" t="str">
        <f t="array" ref="C129">IF(B129="","",IFERROR(INDEX(BD_PT!$A$2:$A$47,MATCH(B129,BD_PT!$B$2:$B$47,0)),""))</f>
        <v/>
      </c>
      <c r="D129" s="26" t="str">
        <f t="array" ref="D129">IF(B129="","",IFERROR(INDEX(BD_PT!$C$2:$C$47,MATCH(B129,BD_PT!$B$2:$B$47,0))*IF(A129="",1,A129),""))</f>
        <v/>
      </c>
    </row>
    <row r="130" ht="15.75" customHeight="1">
      <c r="A130" s="31"/>
      <c r="B130" s="26"/>
      <c r="C130" s="26" t="str">
        <f t="array" ref="C130">IF(B130="","",IFERROR(INDEX(BD_PT!$A$2:$A$47,MATCH(B130,BD_PT!$B$2:$B$47,0)),""))</f>
        <v/>
      </c>
      <c r="D130" s="26" t="str">
        <f t="array" ref="D130">IF(B130="","",IFERROR(INDEX(BD_PT!$C$2:$C$47,MATCH(B130,BD_PT!$B$2:$B$47,0))*IF(A130="",1,A130),""))</f>
        <v/>
      </c>
    </row>
    <row r="131" ht="15.75" customHeight="1">
      <c r="A131" s="31"/>
      <c r="B131" s="26"/>
      <c r="C131" s="26" t="str">
        <f t="array" ref="C131">IF(B131="","",IFERROR(INDEX(BD_PT!$A$2:$A$47,MATCH(B131,BD_PT!$B$2:$B$47,0)),""))</f>
        <v/>
      </c>
      <c r="D131" s="26" t="str">
        <f t="array" ref="D131">IF(B131="","",IFERROR(INDEX(BD_PT!$C$2:$C$47,MATCH(B131,BD_PT!$B$2:$B$47,0))*IF(A131="",1,A131),""))</f>
        <v/>
      </c>
    </row>
    <row r="132" ht="15.75" customHeight="1">
      <c r="A132" s="31"/>
      <c r="B132" s="26"/>
      <c r="C132" s="26" t="str">
        <f t="array" ref="C132">IF(B132="","",IFERROR(INDEX(BD_PT!$A$2:$A$47,MATCH(B132,BD_PT!$B$2:$B$47,0)),""))</f>
        <v/>
      </c>
      <c r="D132" s="26" t="str">
        <f t="array" ref="D132">IF(B132="","",IFERROR(INDEX(BD_PT!$C$2:$C$47,MATCH(B132,BD_PT!$B$2:$B$47,0))*IF(A132="",1,A132),""))</f>
        <v/>
      </c>
    </row>
    <row r="133" ht="15.75" customHeight="1">
      <c r="A133" s="31"/>
      <c r="B133" s="26"/>
      <c r="C133" s="26" t="str">
        <f t="array" ref="C133">IF(B133="","",IFERROR(INDEX(BD_PT!$A$2:$A$47,MATCH(B133,BD_PT!$B$2:$B$47,0)),""))</f>
        <v/>
      </c>
      <c r="D133" s="26" t="str">
        <f t="array" ref="D133">IF(B133="","",IFERROR(INDEX(BD_PT!$C$2:$C$47,MATCH(B133,BD_PT!$B$2:$B$47,0))*IF(A133="",1,A133),""))</f>
        <v/>
      </c>
    </row>
    <row r="134" ht="15.75" customHeight="1">
      <c r="A134" s="31"/>
      <c r="B134" s="26"/>
      <c r="C134" s="26" t="str">
        <f t="array" ref="C134">IF(B134="","",IFERROR(INDEX(BD_PT!$A$2:$A$47,MATCH(B134,BD_PT!$B$2:$B$47,0)),""))</f>
        <v/>
      </c>
      <c r="D134" s="26" t="str">
        <f t="array" ref="D134">IF(B134="","",IFERROR(INDEX(BD_PT!$C$2:$C$47,MATCH(B134,BD_PT!$B$2:$B$47,0))*IF(A134="",1,A134),""))</f>
        <v/>
      </c>
    </row>
    <row r="135" ht="15.75" customHeight="1">
      <c r="A135" s="31"/>
      <c r="B135" s="26"/>
      <c r="C135" s="26" t="str">
        <f t="array" ref="C135">IF(B135="","",IFERROR(INDEX(BD_PT!$A$2:$A$47,MATCH(B135,BD_PT!$B$2:$B$47,0)),""))</f>
        <v/>
      </c>
      <c r="D135" s="26" t="str">
        <f t="array" ref="D135">IF(B135="","",IFERROR(INDEX(BD_PT!$C$2:$C$47,MATCH(B135,BD_PT!$B$2:$B$47,0))*IF(A135="",1,A135),""))</f>
        <v/>
      </c>
    </row>
    <row r="136" ht="15.75" customHeight="1">
      <c r="A136" s="31"/>
      <c r="B136" s="26"/>
      <c r="C136" s="26" t="str">
        <f t="array" ref="C136">IF(B136="","",IFERROR(INDEX(BD_PT!$A$2:$A$47,MATCH(B136,BD_PT!$B$2:$B$47,0)),""))</f>
        <v/>
      </c>
      <c r="D136" s="26" t="str">
        <f t="array" ref="D136">IF(B136="","",IFERROR(INDEX(BD_PT!$C$2:$C$47,MATCH(B136,BD_PT!$B$2:$B$47,0))*IF(A136="",1,A136),""))</f>
        <v/>
      </c>
    </row>
    <row r="137" ht="15.75" customHeight="1">
      <c r="A137" s="31"/>
      <c r="B137" s="26"/>
      <c r="C137" s="26" t="str">
        <f t="array" ref="C137">IF(B137="","",IFERROR(INDEX(BD_PT!$A$2:$A$47,MATCH(B137,BD_PT!$B$2:$B$47,0)),""))</f>
        <v/>
      </c>
      <c r="D137" s="26" t="str">
        <f t="array" ref="D137">IF(B137="","",IFERROR(INDEX(BD_PT!$C$2:$C$47,MATCH(B137,BD_PT!$B$2:$B$47,0))*IF(A137="",1,A137),""))</f>
        <v/>
      </c>
    </row>
    <row r="138" ht="15.75" customHeight="1">
      <c r="A138" s="31"/>
      <c r="B138" s="26"/>
      <c r="C138" s="26" t="str">
        <f t="array" ref="C138">IF(B138="","",IFERROR(INDEX(BD_PT!$A$2:$A$47,MATCH(B138,BD_PT!$B$2:$B$47,0)),""))</f>
        <v/>
      </c>
      <c r="D138" s="26" t="str">
        <f t="array" ref="D138">IF(B138="","",IFERROR(INDEX(BD_PT!$C$2:$C$47,MATCH(B138,BD_PT!$B$2:$B$47,0))*IF(A138="",1,A138),""))</f>
        <v/>
      </c>
    </row>
    <row r="139" ht="15.75" customHeight="1">
      <c r="A139" s="31"/>
      <c r="B139" s="26"/>
      <c r="C139" s="26" t="str">
        <f t="array" ref="C139">IF(B139="","",IFERROR(INDEX(BD_PT!$A$2:$A$47,MATCH(B139,BD_PT!$B$2:$B$47,0)),""))</f>
        <v/>
      </c>
      <c r="D139" s="26" t="str">
        <f t="array" ref="D139">IF(B139="","",IFERROR(INDEX(BD_PT!$C$2:$C$47,MATCH(B139,BD_PT!$B$2:$B$47,0))*IF(A139="",1,A139),""))</f>
        <v/>
      </c>
    </row>
    <row r="140" ht="15.75" customHeight="1">
      <c r="A140" s="31"/>
      <c r="B140" s="26"/>
      <c r="C140" s="26" t="str">
        <f t="array" ref="C140">IF(B140="","",IFERROR(INDEX(BD_PT!$A$2:$A$47,MATCH(B140,BD_PT!$B$2:$B$47,0)),""))</f>
        <v/>
      </c>
      <c r="D140" s="26" t="str">
        <f t="array" ref="D140">IF(B140="","",IFERROR(INDEX(BD_PT!$C$2:$C$47,MATCH(B140,BD_PT!$B$2:$B$47,0))*IF(A140="",1,A140),""))</f>
        <v/>
      </c>
    </row>
    <row r="141" ht="15.75" customHeight="1">
      <c r="A141" s="31"/>
      <c r="B141" s="26"/>
      <c r="C141" s="26" t="str">
        <f t="array" ref="C141">IF(B141="","",IFERROR(INDEX(BD_PT!$A$2:$A$47,MATCH(B141,BD_PT!$B$2:$B$47,0)),""))</f>
        <v/>
      </c>
      <c r="D141" s="26" t="str">
        <f t="array" ref="D141">IF(B141="","",IFERROR(INDEX(BD_PT!$C$2:$C$47,MATCH(B141,BD_PT!$B$2:$B$47,0))*IF(A141="",1,A141),""))</f>
        <v/>
      </c>
    </row>
    <row r="142" ht="15.75" customHeight="1">
      <c r="A142" s="31"/>
      <c r="B142" s="26"/>
      <c r="C142" s="26" t="str">
        <f t="array" ref="C142">IF(B142="","",IFERROR(INDEX(BD_PT!$A$2:$A$47,MATCH(B142,BD_PT!$B$2:$B$47,0)),""))</f>
        <v/>
      </c>
      <c r="D142" s="26" t="str">
        <f t="array" ref="D142">IF(B142="","",IFERROR(INDEX(BD_PT!$C$2:$C$47,MATCH(B142,BD_PT!$B$2:$B$47,0))*IF(A142="",1,A142),""))</f>
        <v/>
      </c>
    </row>
    <row r="143" ht="15.75" customHeight="1">
      <c r="A143" s="31"/>
      <c r="B143" s="26"/>
      <c r="C143" s="26" t="str">
        <f t="array" ref="C143">IF(B143="","",IFERROR(INDEX(BD_PT!$A$2:$A$47,MATCH(B143,BD_PT!$B$2:$B$47,0)),""))</f>
        <v/>
      </c>
      <c r="D143" s="26" t="str">
        <f t="array" ref="D143">IF(B143="","",IFERROR(INDEX(BD_PT!$C$2:$C$47,MATCH(B143,BD_PT!$B$2:$B$47,0))*IF(A143="",1,A143),""))</f>
        <v/>
      </c>
    </row>
    <row r="144" ht="15.75" customHeight="1">
      <c r="A144" s="31"/>
      <c r="B144" s="26"/>
      <c r="C144" s="26" t="str">
        <f t="array" ref="C144">IF(B144="","",IFERROR(INDEX(BD_PT!$A$2:$A$47,MATCH(B144,BD_PT!$B$2:$B$47,0)),""))</f>
        <v/>
      </c>
      <c r="D144" s="26" t="str">
        <f t="array" ref="D144">IF(B144="","",IFERROR(INDEX(BD_PT!$C$2:$C$47,MATCH(B144,BD_PT!$B$2:$B$47,0))*IF(A144="",1,A144),""))</f>
        <v/>
      </c>
    </row>
    <row r="145" ht="15.75" customHeight="1">
      <c r="A145" s="31"/>
      <c r="B145" s="26"/>
      <c r="C145" s="26" t="str">
        <f t="array" ref="C145">IF(B145="","",IFERROR(INDEX(BD_PT!$A$2:$A$47,MATCH(B145,BD_PT!$B$2:$B$47,0)),""))</f>
        <v/>
      </c>
      <c r="D145" s="26" t="str">
        <f t="array" ref="D145">IF(B145="","",IFERROR(INDEX(BD_PT!$C$2:$C$47,MATCH(B145,BD_PT!$B$2:$B$47,0))*IF(A145="",1,A145),""))</f>
        <v/>
      </c>
    </row>
    <row r="146" ht="15.75" customHeight="1">
      <c r="A146" s="31"/>
      <c r="B146" s="26"/>
      <c r="C146" s="26" t="str">
        <f t="array" ref="C146">IF(B146="","",IFERROR(INDEX(BD_PT!$A$2:$A$47,MATCH(B146,BD_PT!$B$2:$B$47,0)),""))</f>
        <v/>
      </c>
      <c r="D146" s="26" t="str">
        <f t="array" ref="D146">IF(B146="","",IFERROR(INDEX(BD_PT!$C$2:$C$47,MATCH(B146,BD_PT!$B$2:$B$47,0))*IF(A146="",1,A146),""))</f>
        <v/>
      </c>
    </row>
    <row r="147" ht="15.75" customHeight="1">
      <c r="A147" s="31"/>
      <c r="B147" s="26"/>
      <c r="C147" s="26" t="str">
        <f t="array" ref="C147">IF(B147="","",IFERROR(INDEX(BD_PT!$A$2:$A$47,MATCH(B147,BD_PT!$B$2:$B$47,0)),""))</f>
        <v/>
      </c>
      <c r="D147" s="26" t="str">
        <f t="array" ref="D147">IF(B147="","",IFERROR(INDEX(BD_PT!$C$2:$C$47,MATCH(B147,BD_PT!$B$2:$B$47,0))*IF(A147="",1,A147),""))</f>
        <v/>
      </c>
    </row>
    <row r="148" ht="15.75" customHeight="1">
      <c r="A148" s="31"/>
      <c r="B148" s="26"/>
      <c r="C148" s="26" t="str">
        <f t="array" ref="C148">IF(B148="","",IFERROR(INDEX(BD_PT!$A$2:$A$47,MATCH(B148,BD_PT!$B$2:$B$47,0)),""))</f>
        <v/>
      </c>
      <c r="D148" s="26" t="str">
        <f t="array" ref="D148">IF(B148="","",IFERROR(INDEX(BD_PT!$C$2:$C$47,MATCH(B148,BD_PT!$B$2:$B$47,0))*IF(A148="",1,A148),""))</f>
        <v/>
      </c>
    </row>
    <row r="149" ht="15.75" customHeight="1">
      <c r="A149" s="31"/>
      <c r="B149" s="26"/>
      <c r="C149" s="26" t="str">
        <f t="array" ref="C149">IF(B149="","",IFERROR(INDEX(BD_PT!$A$2:$A$47,MATCH(B149,BD_PT!$B$2:$B$47,0)),""))</f>
        <v/>
      </c>
      <c r="D149" s="26" t="str">
        <f t="array" ref="D149">IF(B149="","",IFERROR(INDEX(BD_PT!$C$2:$C$47,MATCH(B149,BD_PT!$B$2:$B$47,0))*IF(A149="",1,A149),""))</f>
        <v/>
      </c>
    </row>
    <row r="150" ht="15.75" customHeight="1">
      <c r="A150" s="31"/>
      <c r="B150" s="26"/>
      <c r="C150" s="26" t="str">
        <f t="array" ref="C150">IF(B150="","",IFERROR(INDEX(BD_PT!$A$2:$A$47,MATCH(B150,BD_PT!$B$2:$B$47,0)),""))</f>
        <v/>
      </c>
      <c r="D150" s="26" t="str">
        <f t="array" ref="D150">IF(B150="","",IFERROR(INDEX(BD_PT!$C$2:$C$47,MATCH(B150,BD_PT!$B$2:$B$47,0))*IF(A150="",1,A150),""))</f>
        <v/>
      </c>
    </row>
    <row r="151" ht="15.75" customHeight="1">
      <c r="A151" s="31"/>
      <c r="B151" s="26"/>
      <c r="C151" s="26" t="str">
        <f t="array" ref="C151">IF(B151="","",IFERROR(INDEX(BD_PT!$A$2:$A$47,MATCH(B151,BD_PT!$B$2:$B$47,0)),""))</f>
        <v/>
      </c>
      <c r="D151" s="26" t="str">
        <f t="array" ref="D151">IF(B151="","",IFERROR(INDEX(BD_PT!$C$2:$C$47,MATCH(B151,BD_PT!$B$2:$B$47,0))*IF(A151="",1,A151),""))</f>
        <v/>
      </c>
    </row>
    <row r="152" ht="15.75" customHeight="1">
      <c r="A152" s="31"/>
      <c r="B152" s="26"/>
      <c r="C152" s="26" t="str">
        <f t="array" ref="C152">IF(B152="","",IFERROR(INDEX(BD_PT!$A$2:$A$47,MATCH(B152,BD_PT!$B$2:$B$47,0)),""))</f>
        <v/>
      </c>
      <c r="D152" s="26" t="str">
        <f t="array" ref="D152">IF(B152="","",IFERROR(INDEX(BD_PT!$C$2:$C$47,MATCH(B152,BD_PT!$B$2:$B$47,0))*IF(A152="",1,A152),""))</f>
        <v/>
      </c>
    </row>
    <row r="153" ht="15.75" customHeight="1">
      <c r="A153" s="31"/>
      <c r="B153" s="26"/>
      <c r="C153" s="26" t="str">
        <f t="array" ref="C153">IF(B153="","",IFERROR(INDEX(BD_PT!$A$2:$A$47,MATCH(B153,BD_PT!$B$2:$B$47,0)),""))</f>
        <v/>
      </c>
      <c r="D153" s="26" t="str">
        <f t="array" ref="D153">IF(B153="","",IFERROR(INDEX(BD_PT!$C$2:$C$47,MATCH(B153,BD_PT!$B$2:$B$47,0))*IF(A153="",1,A153),""))</f>
        <v/>
      </c>
    </row>
    <row r="154" ht="15.75" customHeight="1">
      <c r="A154" s="31"/>
      <c r="B154" s="26"/>
      <c r="C154" s="26" t="str">
        <f t="array" ref="C154">IF(B154="","",IFERROR(INDEX(BD_PT!$A$2:$A$47,MATCH(B154,BD_PT!$B$2:$B$47,0)),""))</f>
        <v/>
      </c>
      <c r="D154" s="26" t="str">
        <f t="array" ref="D154">IF(B154="","",IFERROR(INDEX(BD_PT!$C$2:$C$47,MATCH(B154,BD_PT!$B$2:$B$47,0))*IF(A154="",1,A154),""))</f>
        <v/>
      </c>
    </row>
    <row r="155" ht="15.75" customHeight="1">
      <c r="A155" s="31"/>
      <c r="B155" s="26"/>
      <c r="C155" s="26" t="str">
        <f t="array" ref="C155">IF(B155="","",IFERROR(INDEX(BD_PT!$A$2:$A$47,MATCH(B155,BD_PT!$B$2:$B$47,0)),""))</f>
        <v/>
      </c>
      <c r="D155" s="26" t="str">
        <f t="array" ref="D155">IF(B155="","",IFERROR(INDEX(BD_PT!$C$2:$C$47,MATCH(B155,BD_PT!$B$2:$B$47,0))*IF(A155="",1,A155),""))</f>
        <v/>
      </c>
    </row>
    <row r="156" ht="15.75" customHeight="1">
      <c r="A156" s="31"/>
      <c r="B156" s="26"/>
      <c r="C156" s="26" t="str">
        <f t="array" ref="C156">IF(B156="","",IFERROR(INDEX(BD_PT!$A$2:$A$47,MATCH(B156,BD_PT!$B$2:$B$47,0)),""))</f>
        <v/>
      </c>
      <c r="D156" s="26" t="str">
        <f t="array" ref="D156">IF(B156="","",IFERROR(INDEX(BD_PT!$C$2:$C$47,MATCH(B156,BD_PT!$B$2:$B$47,0))*IF(A156="",1,A156),""))</f>
        <v/>
      </c>
    </row>
    <row r="157" ht="15.75" customHeight="1">
      <c r="A157" s="31"/>
      <c r="B157" s="26"/>
      <c r="C157" s="26" t="str">
        <f t="array" ref="C157">IF(B157="","",IFERROR(INDEX(BD_PT!$A$2:$A$47,MATCH(B157,BD_PT!$B$2:$B$47,0)),""))</f>
        <v/>
      </c>
      <c r="D157" s="26" t="str">
        <f t="array" ref="D157">IF(B157="","",IFERROR(INDEX(BD_PT!$C$2:$C$47,MATCH(B157,BD_PT!$B$2:$B$47,0))*IF(A157="",1,A157),""))</f>
        <v/>
      </c>
    </row>
    <row r="158" ht="15.75" customHeight="1">
      <c r="A158" s="31"/>
      <c r="B158" s="26"/>
      <c r="C158" s="26" t="str">
        <f t="array" ref="C158">IF(B158="","",IFERROR(INDEX(BD_PT!$A$2:$A$47,MATCH(B158,BD_PT!$B$2:$B$47,0)),""))</f>
        <v/>
      </c>
      <c r="D158" s="26" t="str">
        <f t="array" ref="D158">IF(B158="","",IFERROR(INDEX(BD_PT!$C$2:$C$47,MATCH(B158,BD_PT!$B$2:$B$47,0))*IF(A158="",1,A158),""))</f>
        <v/>
      </c>
    </row>
    <row r="159" ht="15.75" customHeight="1">
      <c r="A159" s="31"/>
      <c r="B159" s="26"/>
      <c r="C159" s="26" t="str">
        <f t="array" ref="C159">IF(B159="","",IFERROR(INDEX(BD_PT!$A$2:$A$47,MATCH(B159,BD_PT!$B$2:$B$47,0)),""))</f>
        <v/>
      </c>
      <c r="D159" s="26" t="str">
        <f t="array" ref="D159">IF(B159="","",IFERROR(INDEX(BD_PT!$C$2:$C$47,MATCH(B159,BD_PT!$B$2:$B$47,0))*IF(A159="",1,A159),""))</f>
        <v/>
      </c>
    </row>
    <row r="160" ht="15.75" customHeight="1">
      <c r="A160" s="31"/>
      <c r="B160" s="26"/>
      <c r="C160" s="26" t="str">
        <f t="array" ref="C160">IF(B160="","",IFERROR(INDEX(BD_PT!$A$2:$A$47,MATCH(B160,BD_PT!$B$2:$B$47,0)),""))</f>
        <v/>
      </c>
      <c r="D160" s="26" t="str">
        <f t="array" ref="D160">IF(B160="","",IFERROR(INDEX(BD_PT!$C$2:$C$47,MATCH(B160,BD_PT!$B$2:$B$47,0))*IF(A160="",1,A160),""))</f>
        <v/>
      </c>
    </row>
    <row r="161" ht="15.75" customHeight="1">
      <c r="A161" s="31"/>
      <c r="B161" s="26"/>
      <c r="C161" s="26" t="str">
        <f t="array" ref="C161">IF(B161="","",IFERROR(INDEX(BD_PT!$A$2:$A$47,MATCH(B161,BD_PT!$B$2:$B$47,0)),""))</f>
        <v/>
      </c>
      <c r="D161" s="26" t="str">
        <f t="array" ref="D161">IF(B161="","",IFERROR(INDEX(BD_PT!$C$2:$C$47,MATCH(B161,BD_PT!$B$2:$B$47,0))*IF(A161="",1,A161),""))</f>
        <v/>
      </c>
    </row>
    <row r="162" ht="15.75" customHeight="1">
      <c r="A162" s="31"/>
      <c r="B162" s="26"/>
      <c r="C162" s="26" t="str">
        <f t="array" ref="C162">IF(B162="","",IFERROR(INDEX(BD_PT!$A$2:$A$47,MATCH(B162,BD_PT!$B$2:$B$47,0)),""))</f>
        <v/>
      </c>
      <c r="D162" s="26" t="str">
        <f t="array" ref="D162">IF(B162="","",IFERROR(INDEX(BD_PT!$C$2:$C$47,MATCH(B162,BD_PT!$B$2:$B$47,0))*IF(A162="",1,A162),""))</f>
        <v/>
      </c>
    </row>
    <row r="163" ht="15.75" customHeight="1">
      <c r="A163" s="31"/>
      <c r="B163" s="26"/>
      <c r="C163" s="26" t="str">
        <f t="array" ref="C163">IF(B163="","",IFERROR(INDEX(BD_PT!$A$2:$A$47,MATCH(B163,BD_PT!$B$2:$B$47,0)),""))</f>
        <v/>
      </c>
      <c r="D163" s="26" t="str">
        <f t="array" ref="D163">IF(B163="","",IFERROR(INDEX(BD_PT!$C$2:$C$47,MATCH(B163,BD_PT!$B$2:$B$47,0))*IF(A163="",1,A163),""))</f>
        <v/>
      </c>
    </row>
    <row r="164" ht="15.75" customHeight="1">
      <c r="A164" s="31"/>
      <c r="B164" s="26"/>
      <c r="C164" s="26" t="str">
        <f t="array" ref="C164">IF(B164="","",IFERROR(INDEX(BD_PT!$A$2:$A$47,MATCH(B164,BD_PT!$B$2:$B$47,0)),""))</f>
        <v/>
      </c>
      <c r="D164" s="26" t="str">
        <f t="array" ref="D164">IF(B164="","",IFERROR(INDEX(BD_PT!$C$2:$C$47,MATCH(B164,BD_PT!$B$2:$B$47,0))*IF(A164="",1,A164),""))</f>
        <v/>
      </c>
    </row>
    <row r="165" ht="15.75" customHeight="1">
      <c r="A165" s="31"/>
      <c r="B165" s="26"/>
      <c r="C165" s="26" t="str">
        <f t="array" ref="C165">IF(B165="","",IFERROR(INDEX(BD_PT!$A$2:$A$47,MATCH(B165,BD_PT!$B$2:$B$47,0)),""))</f>
        <v/>
      </c>
      <c r="D165" s="26" t="str">
        <f t="array" ref="D165">IF(B165="","",IFERROR(INDEX(BD_PT!$C$2:$C$47,MATCH(B165,BD_PT!$B$2:$B$47,0))*IF(A165="",1,A165),""))</f>
        <v/>
      </c>
    </row>
    <row r="166" ht="15.75" customHeight="1">
      <c r="A166" s="31"/>
      <c r="B166" s="26"/>
      <c r="C166" s="26" t="str">
        <f t="array" ref="C166">IF(B166="","",IFERROR(INDEX(BD_PT!$A$2:$A$47,MATCH(B166,BD_PT!$B$2:$B$47,0)),""))</f>
        <v/>
      </c>
      <c r="D166" s="26" t="str">
        <f t="array" ref="D166">IF(B166="","",IFERROR(INDEX(BD_PT!$C$2:$C$47,MATCH(B166,BD_PT!$B$2:$B$47,0))*IF(A166="",1,A166),""))</f>
        <v/>
      </c>
    </row>
    <row r="167" ht="15.75" customHeight="1">
      <c r="A167" s="31"/>
      <c r="B167" s="26"/>
      <c r="C167" s="26" t="str">
        <f t="array" ref="C167">IF(B167="","",IFERROR(INDEX(BD_PT!$A$2:$A$47,MATCH(B167,BD_PT!$B$2:$B$47,0)),""))</f>
        <v/>
      </c>
      <c r="D167" s="26" t="str">
        <f t="array" ref="D167">IF(B167="","",IFERROR(INDEX(BD_PT!$C$2:$C$47,MATCH(B167,BD_PT!$B$2:$B$47,0))*IF(A167="",1,A167),""))</f>
        <v/>
      </c>
    </row>
    <row r="168" ht="15.75" customHeight="1">
      <c r="A168" s="31"/>
      <c r="B168" s="26"/>
      <c r="C168" s="26" t="str">
        <f t="array" ref="C168">IF(B168="","",IFERROR(INDEX(BD_PT!$A$2:$A$47,MATCH(B168,BD_PT!$B$2:$B$47,0)),""))</f>
        <v/>
      </c>
      <c r="D168" s="26" t="str">
        <f t="array" ref="D168">IF(B168="","",IFERROR(INDEX(BD_PT!$C$2:$C$47,MATCH(B168,BD_PT!$B$2:$B$47,0))*IF(A168="",1,A168),""))</f>
        <v/>
      </c>
    </row>
    <row r="169" ht="15.75" customHeight="1">
      <c r="A169" s="31"/>
      <c r="B169" s="26"/>
      <c r="C169" s="26" t="str">
        <f t="array" ref="C169">IF(B169="","",IFERROR(INDEX(BD_PT!$A$2:$A$47,MATCH(B169,BD_PT!$B$2:$B$47,0)),""))</f>
        <v/>
      </c>
      <c r="D169" s="26" t="str">
        <f t="array" ref="D169">IF(B169="","",IFERROR(INDEX(BD_PT!$C$2:$C$47,MATCH(B169,BD_PT!$B$2:$B$47,0))*IF(A169="",1,A169),""))</f>
        <v/>
      </c>
    </row>
    <row r="170" ht="15.75" customHeight="1">
      <c r="A170" s="31"/>
      <c r="B170" s="26"/>
      <c r="C170" s="26" t="str">
        <f t="array" ref="C170">IF(B170="","",IFERROR(INDEX(BD_PT!$A$2:$A$47,MATCH(B170,BD_PT!$B$2:$B$47,0)),""))</f>
        <v/>
      </c>
      <c r="D170" s="26" t="str">
        <f t="array" ref="D170">IF(B170="","",IFERROR(INDEX(BD_PT!$C$2:$C$47,MATCH(B170,BD_PT!$B$2:$B$47,0))*IF(A170="",1,A170),""))</f>
        <v/>
      </c>
    </row>
    <row r="171" ht="15.75" customHeight="1">
      <c r="A171" s="31"/>
      <c r="B171" s="26"/>
      <c r="C171" s="26" t="str">
        <f t="array" ref="C171">IF(B171="","",IFERROR(INDEX(BD_PT!$A$2:$A$47,MATCH(B171,BD_PT!$B$2:$B$47,0)),""))</f>
        <v/>
      </c>
      <c r="D171" s="26" t="str">
        <f t="array" ref="D171">IF(B171="","",IFERROR(INDEX(BD_PT!$C$2:$C$47,MATCH(B171,BD_PT!$B$2:$B$47,0))*IF(A171="",1,A171),""))</f>
        <v/>
      </c>
    </row>
    <row r="172" ht="15.75" customHeight="1">
      <c r="A172" s="31"/>
      <c r="B172" s="26"/>
      <c r="C172" s="26" t="str">
        <f t="array" ref="C172">IF(B172="","",IFERROR(INDEX(BD_PT!$A$2:$A$47,MATCH(B172,BD_PT!$B$2:$B$47,0)),""))</f>
        <v/>
      </c>
      <c r="D172" s="26" t="str">
        <f t="array" ref="D172">IF(B172="","",IFERROR(INDEX(BD_PT!$C$2:$C$47,MATCH(B172,BD_PT!$B$2:$B$47,0))*IF(A172="",1,A172),""))</f>
        <v/>
      </c>
    </row>
    <row r="173" ht="15.75" customHeight="1">
      <c r="A173" s="31"/>
      <c r="B173" s="26"/>
      <c r="C173" s="26" t="str">
        <f t="array" ref="C173">IF(B173="","",IFERROR(INDEX(BD_PT!$A$2:$A$47,MATCH(B173,BD_PT!$B$2:$B$47,0)),""))</f>
        <v/>
      </c>
      <c r="D173" s="26" t="str">
        <f t="array" ref="D173">IF(B173="","",IFERROR(INDEX(BD_PT!$C$2:$C$47,MATCH(B173,BD_PT!$B$2:$B$47,0))*IF(A173="",1,A173),""))</f>
        <v/>
      </c>
    </row>
    <row r="174" ht="15.75" customHeight="1">
      <c r="A174" s="31"/>
      <c r="B174" s="26"/>
      <c r="C174" s="26" t="str">
        <f t="array" ref="C174">IF(B174="","",IFERROR(INDEX(BD_PT!$A$2:$A$47,MATCH(B174,BD_PT!$B$2:$B$47,0)),""))</f>
        <v/>
      </c>
      <c r="D174" s="26" t="str">
        <f t="array" ref="D174">IF(B174="","",IFERROR(INDEX(BD_PT!$C$2:$C$47,MATCH(B174,BD_PT!$B$2:$B$47,0))*IF(A174="",1,A174),""))</f>
        <v/>
      </c>
    </row>
    <row r="175" ht="15.75" customHeight="1">
      <c r="A175" s="31"/>
      <c r="B175" s="26"/>
      <c r="C175" s="26" t="str">
        <f t="array" ref="C175">IF(B175="","",IFERROR(INDEX(BD_PT!$A$2:$A$47,MATCH(B175,BD_PT!$B$2:$B$47,0)),""))</f>
        <v/>
      </c>
      <c r="D175" s="26" t="str">
        <f t="array" ref="D175">IF(B175="","",IFERROR(INDEX(BD_PT!$C$2:$C$47,MATCH(B175,BD_PT!$B$2:$B$47,0))*IF(A175="",1,A175),""))</f>
        <v/>
      </c>
    </row>
    <row r="176" ht="15.75" customHeight="1">
      <c r="A176" s="31"/>
      <c r="B176" s="26"/>
      <c r="C176" s="26" t="str">
        <f t="array" ref="C176">IF(B176="","",IFERROR(INDEX(BD_PT!$A$2:$A$47,MATCH(B176,BD_PT!$B$2:$B$47,0)),""))</f>
        <v/>
      </c>
      <c r="D176" s="26" t="str">
        <f t="array" ref="D176">IF(B176="","",IFERROR(INDEX(BD_PT!$C$2:$C$47,MATCH(B176,BD_PT!$B$2:$B$47,0))*IF(A176="",1,A176),""))</f>
        <v/>
      </c>
    </row>
    <row r="177" ht="15.75" customHeight="1">
      <c r="A177" s="31"/>
      <c r="B177" s="26"/>
      <c r="C177" s="26" t="str">
        <f t="array" ref="C177">IF(B177="","",IFERROR(INDEX(BD_PT!$A$2:$A$47,MATCH(B177,BD_PT!$B$2:$B$47,0)),""))</f>
        <v/>
      </c>
      <c r="D177" s="26" t="str">
        <f t="array" ref="D177">IF(B177="","",IFERROR(INDEX(BD_PT!$C$2:$C$47,MATCH(B177,BD_PT!$B$2:$B$47,0))*IF(A177="",1,A177),""))</f>
        <v/>
      </c>
    </row>
    <row r="178" ht="15.75" customHeight="1">
      <c r="A178" s="31"/>
      <c r="B178" s="26"/>
      <c r="C178" s="26" t="str">
        <f t="array" ref="C178">IF(B178="","",IFERROR(INDEX(BD_PT!$A$2:$A$47,MATCH(B178,BD_PT!$B$2:$B$47,0)),""))</f>
        <v/>
      </c>
      <c r="D178" s="26" t="str">
        <f t="array" ref="D178">IF(B178="","",IFERROR(INDEX(BD_PT!$C$2:$C$47,MATCH(B178,BD_PT!$B$2:$B$47,0))*IF(A178="",1,A178),""))</f>
        <v/>
      </c>
    </row>
    <row r="179" ht="15.75" customHeight="1">
      <c r="A179" s="31"/>
      <c r="B179" s="26"/>
      <c r="C179" s="26" t="str">
        <f t="array" ref="C179">IF(B179="","",IFERROR(INDEX(BD_PT!$A$2:$A$47,MATCH(B179,BD_PT!$B$2:$B$47,0)),""))</f>
        <v/>
      </c>
      <c r="D179" s="26" t="str">
        <f t="array" ref="D179">IF(B179="","",IFERROR(INDEX(BD_PT!$C$2:$C$47,MATCH(B179,BD_PT!$B$2:$B$47,0))*IF(A179="",1,A179),""))</f>
        <v/>
      </c>
    </row>
    <row r="180" ht="15.75" customHeight="1">
      <c r="A180" s="31"/>
      <c r="B180" s="26"/>
      <c r="C180" s="26" t="str">
        <f t="array" ref="C180">IF(B180="","",IFERROR(INDEX(BD_PT!$A$2:$A$47,MATCH(B180,BD_PT!$B$2:$B$47,0)),""))</f>
        <v/>
      </c>
      <c r="D180" s="26" t="str">
        <f t="array" ref="D180">IF(B180="","",IFERROR(INDEX(BD_PT!$C$2:$C$47,MATCH(B180,BD_PT!$B$2:$B$47,0))*IF(A180="",1,A180),""))</f>
        <v/>
      </c>
    </row>
    <row r="181" ht="15.75" customHeight="1">
      <c r="A181" s="31"/>
      <c r="B181" s="26"/>
      <c r="C181" s="26" t="str">
        <f t="array" ref="C181">IF(B181="","",IFERROR(INDEX(BD_PT!$A$2:$A$47,MATCH(B181,BD_PT!$B$2:$B$47,0)),""))</f>
        <v/>
      </c>
      <c r="D181" s="26" t="str">
        <f t="array" ref="D181">IF(B181="","",IFERROR(INDEX(BD_PT!$C$2:$C$47,MATCH(B181,BD_PT!$B$2:$B$47,0))*IF(A181="",1,A181),""))</f>
        <v/>
      </c>
    </row>
    <row r="182" ht="15.75" customHeight="1">
      <c r="A182" s="31"/>
      <c r="B182" s="26"/>
      <c r="C182" s="26" t="str">
        <f t="array" ref="C182">IF(B182="","",IFERROR(INDEX(BD_PT!$A$2:$A$47,MATCH(B182,BD_PT!$B$2:$B$47,0)),""))</f>
        <v/>
      </c>
      <c r="D182" s="26" t="str">
        <f t="array" ref="D182">IF(B182="","",IFERROR(INDEX(BD_PT!$C$2:$C$47,MATCH(B182,BD_PT!$B$2:$B$47,0))*IF(A182="",1,A182),""))</f>
        <v/>
      </c>
    </row>
    <row r="183" ht="15.75" customHeight="1">
      <c r="A183" s="31"/>
      <c r="B183" s="26"/>
      <c r="C183" s="26" t="str">
        <f t="array" ref="C183">IF(B183="","",IFERROR(INDEX(BD_PT!$A$2:$A$47,MATCH(B183,BD_PT!$B$2:$B$47,0)),""))</f>
        <v/>
      </c>
      <c r="D183" s="26" t="str">
        <f t="array" ref="D183">IF(B183="","",IFERROR(INDEX(BD_PT!$C$2:$C$47,MATCH(B183,BD_PT!$B$2:$B$47,0))*IF(A183="",1,A183),""))</f>
        <v/>
      </c>
    </row>
    <row r="184" ht="15.75" customHeight="1">
      <c r="A184" s="31"/>
      <c r="B184" s="26"/>
      <c r="C184" s="26" t="str">
        <f t="array" ref="C184">IF(B184="","",IFERROR(INDEX(BD_PT!$A$2:$A$47,MATCH(B184,BD_PT!$B$2:$B$47,0)),""))</f>
        <v/>
      </c>
      <c r="D184" s="26" t="str">
        <f t="array" ref="D184">IF(B184="","",IFERROR(INDEX(BD_PT!$C$2:$C$47,MATCH(B184,BD_PT!$B$2:$B$47,0))*IF(A184="",1,A184),""))</f>
        <v/>
      </c>
    </row>
    <row r="185" ht="15.75" customHeight="1">
      <c r="A185" s="31"/>
      <c r="B185" s="26"/>
      <c r="C185" s="26" t="str">
        <f t="array" ref="C185">IF(B185="","",IFERROR(INDEX(BD_PT!$A$2:$A$47,MATCH(B185,BD_PT!$B$2:$B$47,0)),""))</f>
        <v/>
      </c>
      <c r="D185" s="26" t="str">
        <f t="array" ref="D185">IF(B185="","",IFERROR(INDEX(BD_PT!$C$2:$C$47,MATCH(B185,BD_PT!$B$2:$B$47,0))*IF(A185="",1,A185),""))</f>
        <v/>
      </c>
    </row>
    <row r="186" ht="15.75" customHeight="1">
      <c r="A186" s="31"/>
      <c r="B186" s="26"/>
      <c r="C186" s="26" t="str">
        <f t="array" ref="C186">IF(B186="","",IFERROR(INDEX(BD_PT!$A$2:$A$47,MATCH(B186,BD_PT!$B$2:$B$47,0)),""))</f>
        <v/>
      </c>
      <c r="D186" s="26" t="str">
        <f t="array" ref="D186">IF(B186="","",IFERROR(INDEX(BD_PT!$C$2:$C$47,MATCH(B186,BD_PT!$B$2:$B$47,0))*IF(A186="",1,A186),""))</f>
        <v/>
      </c>
    </row>
    <row r="187" ht="15.75" customHeight="1">
      <c r="A187" s="31"/>
      <c r="B187" s="26"/>
      <c r="C187" s="26" t="str">
        <f t="array" ref="C187">IF(B187="","",IFERROR(INDEX(BD_PT!$A$2:$A$47,MATCH(B187,BD_PT!$B$2:$B$47,0)),""))</f>
        <v/>
      </c>
      <c r="D187" s="26" t="str">
        <f t="array" ref="D187">IF(B187="","",IFERROR(INDEX(BD_PT!$C$2:$C$47,MATCH(B187,BD_PT!$B$2:$B$47,0))*IF(A187="",1,A187),""))</f>
        <v/>
      </c>
    </row>
    <row r="188" ht="15.75" customHeight="1">
      <c r="A188" s="31"/>
      <c r="B188" s="26"/>
      <c r="C188" s="26" t="str">
        <f t="array" ref="C188">IF(B188="","",IFERROR(INDEX(BD_PT!$A$2:$A$47,MATCH(B188,BD_PT!$B$2:$B$47,0)),""))</f>
        <v/>
      </c>
      <c r="D188" s="26" t="str">
        <f t="array" ref="D188">IF(B188="","",IFERROR(INDEX(BD_PT!$C$2:$C$47,MATCH(B188,BD_PT!$B$2:$B$47,0))*IF(A188="",1,A188),""))</f>
        <v/>
      </c>
    </row>
    <row r="189" ht="15.75" customHeight="1">
      <c r="A189" s="31"/>
      <c r="B189" s="26"/>
      <c r="C189" s="26" t="str">
        <f t="array" ref="C189">IF(B189="","",IFERROR(INDEX(BD_PT!$A$2:$A$47,MATCH(B189,BD_PT!$B$2:$B$47,0)),""))</f>
        <v/>
      </c>
      <c r="D189" s="26" t="str">
        <f t="array" ref="D189">IF(B189="","",IFERROR(INDEX(BD_PT!$C$2:$C$47,MATCH(B189,BD_PT!$B$2:$B$47,0))*IF(A189="",1,A189),""))</f>
        <v/>
      </c>
    </row>
    <row r="190" ht="15.75" customHeight="1">
      <c r="A190" s="31"/>
      <c r="B190" s="26"/>
      <c r="C190" s="26" t="str">
        <f t="array" ref="C190">IF(B190="","",IFERROR(INDEX(BD_PT!$A$2:$A$47,MATCH(B190,BD_PT!$B$2:$B$47,0)),""))</f>
        <v/>
      </c>
      <c r="D190" s="26" t="str">
        <f t="array" ref="D190">IF(B190="","",IFERROR(INDEX(BD_PT!$C$2:$C$47,MATCH(B190,BD_PT!$B$2:$B$47,0))*IF(A190="",1,A190),""))</f>
        <v/>
      </c>
    </row>
    <row r="191" ht="15.75" customHeight="1">
      <c r="A191" s="31"/>
      <c r="B191" s="26"/>
      <c r="C191" s="26" t="str">
        <f t="array" ref="C191">IF(B191="","",IFERROR(INDEX(BD_PT!$A$2:$A$47,MATCH(B191,BD_PT!$B$2:$B$47,0)),""))</f>
        <v/>
      </c>
      <c r="D191" s="26" t="str">
        <f t="array" ref="D191">IF(B191="","",IFERROR(INDEX(BD_PT!$C$2:$C$47,MATCH(B191,BD_PT!$B$2:$B$47,0))*IF(A191="",1,A191),""))</f>
        <v/>
      </c>
    </row>
    <row r="192" ht="15.75" customHeight="1">
      <c r="A192" s="31"/>
      <c r="B192" s="26"/>
      <c r="C192" s="26" t="str">
        <f t="array" ref="C192">IF(B192="","",IFERROR(INDEX(BD_PT!$A$2:$A$47,MATCH(B192,BD_PT!$B$2:$B$47,0)),""))</f>
        <v/>
      </c>
      <c r="D192" s="26" t="str">
        <f t="array" ref="D192">IF(B192="","",IFERROR(INDEX(BD_PT!$C$2:$C$47,MATCH(B192,BD_PT!$B$2:$B$47,0))*IF(A192="",1,A192),""))</f>
        <v/>
      </c>
    </row>
    <row r="193" ht="15.75" customHeight="1">
      <c r="A193" s="31"/>
      <c r="B193" s="26"/>
      <c r="C193" s="26" t="str">
        <f t="array" ref="C193">IF(B193="","",IFERROR(INDEX(BD_PT!$A$2:$A$47,MATCH(B193,BD_PT!$B$2:$B$47,0)),""))</f>
        <v/>
      </c>
      <c r="D193" s="26" t="str">
        <f t="array" ref="D193">IF(B193="","",IFERROR(INDEX(BD_PT!$C$2:$C$47,MATCH(B193,BD_PT!$B$2:$B$47,0))*IF(A193="",1,A193),""))</f>
        <v/>
      </c>
    </row>
    <row r="194" ht="15.75" customHeight="1">
      <c r="A194" s="31"/>
      <c r="B194" s="26"/>
      <c r="C194" s="26" t="str">
        <f t="array" ref="C194">IF(B194="","",IFERROR(INDEX(BD_PT!$A$2:$A$47,MATCH(B194,BD_PT!$B$2:$B$47,0)),""))</f>
        <v/>
      </c>
      <c r="D194" s="26" t="str">
        <f t="array" ref="D194">IF(B194="","",IFERROR(INDEX(BD_PT!$C$2:$C$47,MATCH(B194,BD_PT!$B$2:$B$47,0))*IF(A194="",1,A194),""))</f>
        <v/>
      </c>
    </row>
    <row r="195" ht="15.75" customHeight="1">
      <c r="A195" s="31"/>
      <c r="B195" s="26"/>
      <c r="C195" s="26" t="str">
        <f t="array" ref="C195">IF(B195="","",IFERROR(INDEX(BD_PT!$A$2:$A$47,MATCH(B195,BD_PT!$B$2:$B$47,0)),""))</f>
        <v/>
      </c>
      <c r="D195" s="26" t="str">
        <f t="array" ref="D195">IF(B195="","",IFERROR(INDEX(BD_PT!$C$2:$C$47,MATCH(B195,BD_PT!$B$2:$B$47,0))*IF(A195="",1,A195),""))</f>
        <v/>
      </c>
    </row>
    <row r="196" ht="15.75" customHeight="1">
      <c r="A196" s="31"/>
      <c r="B196" s="26"/>
      <c r="C196" s="26" t="str">
        <f t="array" ref="C196">IF(B196="","",IFERROR(INDEX(BD_PT!$A$2:$A$47,MATCH(B196,BD_PT!$B$2:$B$47,0)),""))</f>
        <v/>
      </c>
      <c r="D196" s="26" t="str">
        <f t="array" ref="D196">IF(B196="","",IFERROR(INDEX(BD_PT!$C$2:$C$47,MATCH(B196,BD_PT!$B$2:$B$47,0))*IF(A196="",1,A196),""))</f>
        <v/>
      </c>
    </row>
    <row r="197" ht="15.75" customHeight="1">
      <c r="A197" s="31"/>
      <c r="B197" s="26"/>
      <c r="C197" s="26" t="str">
        <f t="array" ref="C197">IF(B197="","",IFERROR(INDEX(BD_PT!$A$2:$A$47,MATCH(B197,BD_PT!$B$2:$B$47,0)),""))</f>
        <v/>
      </c>
      <c r="D197" s="26" t="str">
        <f t="array" ref="D197">IF(B197="","",IFERROR(INDEX(BD_PT!$C$2:$C$47,MATCH(B197,BD_PT!$B$2:$B$47,0))*IF(A197="",1,A197),""))</f>
        <v/>
      </c>
    </row>
    <row r="198" ht="15.75" customHeight="1">
      <c r="A198" s="31"/>
      <c r="B198" s="26"/>
      <c r="C198" s="26" t="str">
        <f t="array" ref="C198">IF(B198="","",IFERROR(INDEX(BD_PT!$A$2:$A$47,MATCH(B198,BD_PT!$B$2:$B$47,0)),""))</f>
        <v/>
      </c>
      <c r="D198" s="26" t="str">
        <f t="array" ref="D198">IF(B198="","",IFERROR(INDEX(BD_PT!$C$2:$C$47,MATCH(B198,BD_PT!$B$2:$B$47,0))*IF(A198="",1,A198),""))</f>
        <v/>
      </c>
    </row>
    <row r="199" ht="15.75" customHeight="1">
      <c r="A199" s="31"/>
      <c r="B199" s="26"/>
      <c r="C199" s="26" t="str">
        <f t="array" ref="C199">IF(B199="","",IFERROR(INDEX(BD_PT!$A$2:$A$47,MATCH(B199,BD_PT!$B$2:$B$47,0)),""))</f>
        <v/>
      </c>
      <c r="D199" s="26" t="str">
        <f t="array" ref="D199">IF(B199="","",IFERROR(INDEX(BD_PT!$C$2:$C$47,MATCH(B199,BD_PT!$B$2:$B$47,0))*IF(A199="",1,A199),""))</f>
        <v/>
      </c>
    </row>
    <row r="200" ht="15.75" customHeight="1">
      <c r="A200" s="31"/>
      <c r="B200" s="26"/>
      <c r="C200" s="26" t="str">
        <f t="array" ref="C200">IF(B200="","",IFERROR(INDEX(BD_PT!$A$2:$A$47,MATCH(B200,BD_PT!$B$2:$B$47,0)),""))</f>
        <v/>
      </c>
      <c r="D200" s="26" t="str">
        <f t="array" ref="D200">IF(B200="","",IFERROR(INDEX(BD_PT!$C$2:$C$47,MATCH(B200,BD_PT!$B$2:$B$47,0))*IF(A200="",1,A200),""))</f>
        <v/>
      </c>
    </row>
    <row r="201" ht="15.75" customHeight="1">
      <c r="A201" s="31"/>
    </row>
    <row r="202" ht="15.75" customHeight="1">
      <c r="A202" s="31"/>
    </row>
    <row r="203" ht="15.75" customHeight="1">
      <c r="A203" s="31"/>
    </row>
    <row r="204" ht="15.75" customHeight="1">
      <c r="A204" s="31"/>
    </row>
    <row r="205" ht="15.75" customHeight="1">
      <c r="A205" s="31"/>
    </row>
    <row r="206" ht="15.75" customHeight="1">
      <c r="A206" s="31"/>
    </row>
    <row r="207" ht="15.75" customHeight="1">
      <c r="A207" s="31"/>
    </row>
    <row r="208" ht="15.75" customHeight="1">
      <c r="A208" s="31"/>
    </row>
    <row r="209" ht="15.75" customHeight="1">
      <c r="A209" s="31"/>
    </row>
    <row r="210" ht="15.75" customHeight="1">
      <c r="A210" s="31"/>
    </row>
    <row r="211" ht="15.75" customHeight="1">
      <c r="A211" s="31"/>
    </row>
    <row r="212" ht="15.75" customHeight="1">
      <c r="A212" s="31"/>
    </row>
    <row r="213" ht="15.75" customHeight="1">
      <c r="A213" s="31"/>
    </row>
    <row r="214" ht="15.75" customHeight="1">
      <c r="A214" s="31"/>
    </row>
    <row r="215" ht="15.75" customHeight="1">
      <c r="A215" s="31"/>
    </row>
    <row r="216" ht="15.75" customHeight="1">
      <c r="A216" s="31"/>
    </row>
    <row r="217" ht="15.75" customHeight="1">
      <c r="A217" s="31"/>
    </row>
    <row r="218" ht="15.75" customHeight="1">
      <c r="A218" s="31"/>
    </row>
    <row r="219" ht="15.75" customHeight="1">
      <c r="A219" s="31"/>
    </row>
    <row r="220" ht="15.75" customHeight="1">
      <c r="A220" s="31"/>
    </row>
    <row r="221" ht="15.75" customHeight="1">
      <c r="A221" s="31"/>
    </row>
    <row r="222" ht="15.75" customHeight="1">
      <c r="A222" s="31"/>
    </row>
    <row r="223" ht="15.75" customHeight="1">
      <c r="A223" s="31"/>
    </row>
    <row r="224" ht="15.75" customHeight="1">
      <c r="A224" s="31"/>
    </row>
    <row r="225" ht="15.75" customHeight="1">
      <c r="A225" s="31"/>
    </row>
    <row r="226" ht="15.75" customHeight="1">
      <c r="A226" s="31"/>
    </row>
    <row r="227" ht="15.75" customHeight="1">
      <c r="A227" s="31"/>
    </row>
    <row r="228" ht="15.75" customHeight="1">
      <c r="A228" s="31"/>
    </row>
    <row r="229" ht="15.75" customHeight="1">
      <c r="A229" s="31"/>
    </row>
    <row r="230" ht="15.75" customHeight="1">
      <c r="A230" s="31"/>
    </row>
    <row r="231" ht="15.75" customHeight="1">
      <c r="A231" s="31"/>
    </row>
    <row r="232" ht="15.75" customHeight="1">
      <c r="A232" s="31"/>
    </row>
    <row r="233" ht="15.75" customHeight="1">
      <c r="A233" s="31"/>
    </row>
    <row r="234" ht="15.75" customHeight="1">
      <c r="A234" s="31"/>
    </row>
    <row r="235" ht="15.75" customHeight="1">
      <c r="A235" s="31"/>
    </row>
    <row r="236" ht="15.75" customHeight="1">
      <c r="A236" s="31"/>
    </row>
    <row r="237" ht="15.75" customHeight="1">
      <c r="A237" s="31"/>
    </row>
    <row r="238" ht="15.75" customHeight="1">
      <c r="A238" s="31"/>
    </row>
    <row r="239" ht="15.75" customHeight="1">
      <c r="A239" s="31"/>
    </row>
    <row r="240" ht="15.75" customHeight="1">
      <c r="A240" s="31"/>
    </row>
    <row r="241" ht="15.75" customHeight="1">
      <c r="A241" s="31"/>
    </row>
    <row r="242" ht="15.75" customHeight="1">
      <c r="A242" s="31"/>
    </row>
    <row r="243" ht="15.75" customHeight="1">
      <c r="A243" s="31"/>
    </row>
    <row r="244" ht="15.75" customHeight="1">
      <c r="A244" s="31"/>
    </row>
    <row r="245" ht="15.75" customHeight="1">
      <c r="A245" s="31"/>
    </row>
    <row r="246" ht="15.75" customHeight="1">
      <c r="A246" s="31"/>
    </row>
    <row r="247" ht="15.75" customHeight="1">
      <c r="A247" s="31"/>
    </row>
    <row r="248" ht="15.75" customHeight="1">
      <c r="A248" s="31"/>
    </row>
    <row r="249" ht="15.75" customHeight="1">
      <c r="A249" s="31"/>
    </row>
    <row r="250" ht="15.75" customHeight="1">
      <c r="A250" s="31"/>
    </row>
    <row r="251" ht="15.75" customHeight="1">
      <c r="A251" s="31"/>
    </row>
    <row r="252" ht="15.75" customHeight="1">
      <c r="A252" s="31"/>
    </row>
    <row r="253" ht="15.75" customHeight="1">
      <c r="A253" s="31"/>
    </row>
    <row r="254" ht="15.75" customHeight="1">
      <c r="A254" s="31"/>
    </row>
    <row r="255" ht="15.75" customHeight="1">
      <c r="A255" s="31"/>
    </row>
    <row r="256" ht="15.75" customHeight="1">
      <c r="A256" s="31"/>
    </row>
    <row r="257" ht="15.75" customHeight="1">
      <c r="A257" s="31"/>
    </row>
    <row r="258" ht="15.75" customHeight="1">
      <c r="A258" s="31"/>
    </row>
    <row r="259" ht="15.75" customHeight="1">
      <c r="A259" s="31"/>
    </row>
    <row r="260" ht="15.75" customHeight="1">
      <c r="A260" s="31"/>
    </row>
    <row r="261" ht="15.75" customHeight="1">
      <c r="A261" s="31"/>
    </row>
    <row r="262" ht="15.75" customHeight="1">
      <c r="A262" s="31"/>
    </row>
    <row r="263" ht="15.75" customHeight="1">
      <c r="A263" s="31"/>
    </row>
    <row r="264" ht="15.75" customHeight="1">
      <c r="A264" s="31"/>
    </row>
    <row r="265" ht="15.75" customHeight="1">
      <c r="A265" s="31"/>
    </row>
    <row r="266" ht="15.75" customHeight="1">
      <c r="A266" s="31"/>
    </row>
    <row r="267" ht="15.75" customHeight="1">
      <c r="A267" s="31"/>
    </row>
    <row r="268" ht="15.75" customHeight="1">
      <c r="A268" s="31"/>
    </row>
    <row r="269" ht="15.75" customHeight="1">
      <c r="A269" s="31"/>
    </row>
    <row r="270" ht="15.75" customHeight="1">
      <c r="A270" s="31"/>
    </row>
    <row r="271" ht="15.75" customHeight="1">
      <c r="A271" s="31"/>
    </row>
    <row r="272" ht="15.75" customHeight="1">
      <c r="A272" s="31"/>
    </row>
    <row r="273" ht="15.75" customHeight="1">
      <c r="A273" s="31"/>
    </row>
    <row r="274" ht="15.75" customHeight="1">
      <c r="A274" s="31"/>
    </row>
    <row r="275" ht="15.75" customHeight="1">
      <c r="A275" s="31"/>
    </row>
    <row r="276" ht="15.75" customHeight="1">
      <c r="A276" s="31"/>
    </row>
    <row r="277" ht="15.75" customHeight="1">
      <c r="A277" s="31"/>
    </row>
    <row r="278" ht="15.75" customHeight="1">
      <c r="A278" s="31"/>
    </row>
    <row r="279" ht="15.75" customHeight="1">
      <c r="A279" s="31"/>
    </row>
    <row r="280" ht="15.75" customHeight="1">
      <c r="A280" s="31"/>
    </row>
    <row r="281" ht="15.75" customHeight="1">
      <c r="A281" s="31"/>
    </row>
    <row r="282" ht="15.75" customHeight="1">
      <c r="A282" s="31"/>
    </row>
    <row r="283" ht="15.75" customHeight="1">
      <c r="A283" s="31"/>
    </row>
    <row r="284" ht="15.75" customHeight="1">
      <c r="A284" s="31"/>
    </row>
    <row r="285" ht="15.75" customHeight="1">
      <c r="A285" s="31"/>
    </row>
    <row r="286" ht="15.75" customHeight="1">
      <c r="A286" s="31"/>
    </row>
    <row r="287" ht="15.75" customHeight="1">
      <c r="A287" s="31"/>
    </row>
    <row r="288" ht="15.75" customHeight="1">
      <c r="A288" s="31"/>
    </row>
    <row r="289" ht="15.75" customHeight="1">
      <c r="A289" s="31"/>
    </row>
    <row r="290" ht="15.75" customHeight="1">
      <c r="A290" s="31"/>
    </row>
    <row r="291" ht="15.75" customHeight="1">
      <c r="A291" s="31"/>
    </row>
    <row r="292" ht="15.75" customHeight="1">
      <c r="A292" s="31"/>
    </row>
    <row r="293" ht="15.75" customHeight="1">
      <c r="A293" s="31"/>
    </row>
    <row r="294" ht="15.75" customHeight="1">
      <c r="A294" s="31"/>
    </row>
    <row r="295" ht="15.75" customHeight="1">
      <c r="A295" s="31"/>
    </row>
    <row r="296" ht="15.75" customHeight="1">
      <c r="A296" s="31"/>
    </row>
    <row r="297" ht="15.75" customHeight="1">
      <c r="A297" s="31"/>
    </row>
    <row r="298" ht="15.75" customHeight="1">
      <c r="A298" s="31"/>
    </row>
    <row r="299" ht="15.75" customHeight="1">
      <c r="A299" s="31"/>
    </row>
    <row r="300" ht="15.75" customHeight="1">
      <c r="A300" s="31"/>
    </row>
    <row r="301" ht="15.75" customHeight="1">
      <c r="A301" s="31"/>
    </row>
    <row r="302" ht="15.75" customHeight="1">
      <c r="A302" s="31"/>
    </row>
    <row r="303" ht="15.75" customHeight="1">
      <c r="A303" s="31"/>
    </row>
    <row r="304" ht="15.75" customHeight="1">
      <c r="A304" s="31"/>
    </row>
    <row r="305" ht="15.75" customHeight="1">
      <c r="A305" s="31"/>
    </row>
    <row r="306" ht="15.75" customHeight="1">
      <c r="A306" s="31"/>
    </row>
    <row r="307" ht="15.75" customHeight="1">
      <c r="A307" s="31"/>
    </row>
    <row r="308" ht="15.75" customHeight="1">
      <c r="A308" s="31"/>
    </row>
    <row r="309" ht="15.75" customHeight="1">
      <c r="A309" s="31"/>
    </row>
    <row r="310" ht="15.75" customHeight="1">
      <c r="A310" s="31"/>
    </row>
    <row r="311" ht="15.75" customHeight="1">
      <c r="A311" s="31"/>
    </row>
    <row r="312" ht="15.75" customHeight="1">
      <c r="A312" s="31"/>
    </row>
    <row r="313" ht="15.75" customHeight="1">
      <c r="A313" s="31"/>
    </row>
    <row r="314" ht="15.75" customHeight="1">
      <c r="A314" s="31"/>
    </row>
    <row r="315" ht="15.75" customHeight="1">
      <c r="A315" s="31"/>
    </row>
    <row r="316" ht="15.75" customHeight="1">
      <c r="A316" s="31"/>
    </row>
    <row r="317" ht="15.75" customHeight="1">
      <c r="A317" s="31"/>
    </row>
    <row r="318" ht="15.75" customHeight="1">
      <c r="A318" s="31"/>
    </row>
    <row r="319" ht="15.75" customHeight="1">
      <c r="A319" s="31"/>
    </row>
    <row r="320" ht="15.75" customHeight="1">
      <c r="A320" s="31"/>
    </row>
    <row r="321" ht="15.75" customHeight="1">
      <c r="A321" s="31"/>
    </row>
    <row r="322" ht="15.75" customHeight="1">
      <c r="A322" s="31"/>
    </row>
    <row r="323" ht="15.75" customHeight="1">
      <c r="A323" s="31"/>
    </row>
    <row r="324" ht="15.75" customHeight="1">
      <c r="A324" s="31"/>
    </row>
    <row r="325" ht="15.75" customHeight="1">
      <c r="A325" s="31"/>
    </row>
    <row r="326" ht="15.75" customHeight="1">
      <c r="A326" s="31"/>
    </row>
    <row r="327" ht="15.75" customHeight="1">
      <c r="A327" s="31"/>
    </row>
    <row r="328" ht="15.75" customHeight="1">
      <c r="A328" s="31"/>
    </row>
    <row r="329" ht="15.75" customHeight="1">
      <c r="A329" s="31"/>
    </row>
    <row r="330" ht="15.75" customHeight="1">
      <c r="A330" s="31"/>
    </row>
    <row r="331" ht="15.75" customHeight="1">
      <c r="A331" s="31"/>
    </row>
    <row r="332" ht="15.75" customHeight="1">
      <c r="A332" s="31"/>
    </row>
    <row r="333" ht="15.75" customHeight="1">
      <c r="A333" s="31"/>
    </row>
    <row r="334" ht="15.75" customHeight="1">
      <c r="A334" s="31"/>
    </row>
    <row r="335" ht="15.75" customHeight="1">
      <c r="A335" s="31"/>
    </row>
    <row r="336" ht="15.75" customHeight="1">
      <c r="A336" s="31"/>
    </row>
    <row r="337" ht="15.75" customHeight="1">
      <c r="A337" s="31"/>
    </row>
    <row r="338" ht="15.75" customHeight="1">
      <c r="A338" s="31"/>
    </row>
    <row r="339" ht="15.75" customHeight="1">
      <c r="A339" s="31"/>
    </row>
    <row r="340" ht="15.75" customHeight="1">
      <c r="A340" s="31"/>
    </row>
    <row r="341" ht="15.75" customHeight="1">
      <c r="A341" s="31"/>
    </row>
    <row r="342" ht="15.75" customHeight="1">
      <c r="A342" s="31"/>
    </row>
    <row r="343" ht="15.75" customHeight="1">
      <c r="A343" s="31"/>
    </row>
    <row r="344" ht="15.75" customHeight="1">
      <c r="A344" s="31"/>
    </row>
    <row r="345" ht="15.75" customHeight="1">
      <c r="A345" s="31"/>
    </row>
    <row r="346" ht="15.75" customHeight="1">
      <c r="A346" s="31"/>
    </row>
    <row r="347" ht="15.75" customHeight="1">
      <c r="A347" s="31"/>
    </row>
    <row r="348" ht="15.75" customHeight="1">
      <c r="A348" s="31"/>
    </row>
    <row r="349" ht="15.75" customHeight="1">
      <c r="A349" s="31"/>
    </row>
    <row r="350" ht="15.75" customHeight="1">
      <c r="A350" s="31"/>
    </row>
    <row r="351" ht="15.75" customHeight="1">
      <c r="A351" s="31"/>
    </row>
    <row r="352" ht="15.75" customHeight="1">
      <c r="A352" s="31"/>
    </row>
    <row r="353" ht="15.75" customHeight="1">
      <c r="A353" s="31"/>
    </row>
    <row r="354" ht="15.75" customHeight="1">
      <c r="A354" s="31"/>
    </row>
    <row r="355" ht="15.75" customHeight="1">
      <c r="A355" s="31"/>
    </row>
    <row r="356" ht="15.75" customHeight="1">
      <c r="A356" s="31"/>
    </row>
    <row r="357" ht="15.75" customHeight="1">
      <c r="A357" s="31"/>
    </row>
    <row r="358" ht="15.75" customHeight="1">
      <c r="A358" s="31"/>
    </row>
    <row r="359" ht="15.75" customHeight="1">
      <c r="A359" s="31"/>
    </row>
    <row r="360" ht="15.75" customHeight="1">
      <c r="A360" s="31"/>
    </row>
    <row r="361" ht="15.75" customHeight="1">
      <c r="A361" s="31"/>
    </row>
    <row r="362" ht="15.75" customHeight="1">
      <c r="A362" s="31"/>
    </row>
    <row r="363" ht="15.75" customHeight="1">
      <c r="A363" s="31"/>
    </row>
    <row r="364" ht="15.75" customHeight="1">
      <c r="A364" s="31"/>
    </row>
    <row r="365" ht="15.75" customHeight="1">
      <c r="A365" s="31"/>
    </row>
    <row r="366" ht="15.75" customHeight="1">
      <c r="A366" s="31"/>
    </row>
    <row r="367" ht="15.75" customHeight="1">
      <c r="A367" s="31"/>
    </row>
    <row r="368" ht="15.75" customHeight="1">
      <c r="A368" s="31"/>
    </row>
    <row r="369" ht="15.75" customHeight="1">
      <c r="A369" s="31"/>
    </row>
    <row r="370" ht="15.75" customHeight="1">
      <c r="A370" s="31"/>
    </row>
    <row r="371" ht="15.75" customHeight="1">
      <c r="A371" s="31"/>
    </row>
    <row r="372" ht="15.75" customHeight="1">
      <c r="A372" s="31"/>
    </row>
    <row r="373" ht="15.75" customHeight="1">
      <c r="A373" s="31"/>
    </row>
    <row r="374" ht="15.75" customHeight="1">
      <c r="A374" s="31"/>
    </row>
    <row r="375" ht="15.75" customHeight="1">
      <c r="A375" s="31"/>
    </row>
    <row r="376" ht="15.75" customHeight="1">
      <c r="A376" s="31"/>
    </row>
    <row r="377" ht="15.75" customHeight="1">
      <c r="A377" s="31"/>
    </row>
    <row r="378" ht="15.75" customHeight="1">
      <c r="A378" s="31"/>
    </row>
    <row r="379" ht="15.75" customHeight="1">
      <c r="A379" s="31"/>
    </row>
    <row r="380" ht="15.75" customHeight="1">
      <c r="A380" s="31"/>
    </row>
    <row r="381" ht="15.75" customHeight="1">
      <c r="A381" s="31"/>
    </row>
    <row r="382" ht="15.75" customHeight="1">
      <c r="A382" s="31"/>
    </row>
    <row r="383" ht="15.75" customHeight="1">
      <c r="A383" s="31"/>
    </row>
    <row r="384" ht="15.75" customHeight="1">
      <c r="A384" s="31"/>
    </row>
    <row r="385" ht="15.75" customHeight="1">
      <c r="A385" s="31"/>
    </row>
    <row r="386" ht="15.75" customHeight="1">
      <c r="A386" s="31"/>
    </row>
    <row r="387" ht="15.75" customHeight="1">
      <c r="A387" s="31"/>
    </row>
    <row r="388" ht="15.75" customHeight="1">
      <c r="A388" s="31"/>
    </row>
    <row r="389" ht="15.75" customHeight="1">
      <c r="A389" s="31"/>
    </row>
    <row r="390" ht="15.75" customHeight="1">
      <c r="A390" s="31"/>
    </row>
    <row r="391" ht="15.75" customHeight="1">
      <c r="A391" s="31"/>
    </row>
    <row r="392" ht="15.75" customHeight="1">
      <c r="A392" s="31"/>
    </row>
    <row r="393" ht="15.75" customHeight="1">
      <c r="A393" s="31"/>
    </row>
    <row r="394" ht="15.75" customHeight="1">
      <c r="A394" s="31"/>
    </row>
    <row r="395" ht="15.75" customHeight="1">
      <c r="A395" s="31"/>
    </row>
    <row r="396" ht="15.75" customHeight="1">
      <c r="A396" s="31"/>
    </row>
    <row r="397" ht="15.75" customHeight="1">
      <c r="A397" s="31"/>
    </row>
    <row r="398" ht="15.75" customHeight="1">
      <c r="A398" s="31"/>
    </row>
    <row r="399" ht="15.75" customHeight="1">
      <c r="A399" s="31"/>
    </row>
    <row r="400" ht="15.75" customHeight="1">
      <c r="A400" s="31"/>
    </row>
    <row r="401" ht="15.75" customHeight="1">
      <c r="A401" s="31"/>
    </row>
    <row r="402" ht="15.75" customHeight="1">
      <c r="A402" s="31"/>
    </row>
    <row r="403" ht="15.75" customHeight="1">
      <c r="A403" s="31"/>
    </row>
    <row r="404" ht="15.75" customHeight="1">
      <c r="A404" s="31"/>
    </row>
    <row r="405" ht="15.75" customHeight="1">
      <c r="A405" s="31"/>
    </row>
    <row r="406" ht="15.75" customHeight="1">
      <c r="A406" s="31"/>
    </row>
    <row r="407" ht="15.75" customHeight="1">
      <c r="A407" s="31"/>
    </row>
    <row r="408" ht="15.75" customHeight="1">
      <c r="A408" s="31"/>
    </row>
    <row r="409" ht="15.75" customHeight="1">
      <c r="A409" s="31"/>
    </row>
    <row r="410" ht="15.75" customHeight="1">
      <c r="A410" s="31"/>
    </row>
    <row r="411" ht="15.75" customHeight="1">
      <c r="A411" s="31"/>
    </row>
    <row r="412" ht="15.75" customHeight="1">
      <c r="A412" s="31"/>
    </row>
    <row r="413" ht="15.75" customHeight="1">
      <c r="A413" s="31"/>
    </row>
    <row r="414" ht="15.75" customHeight="1">
      <c r="A414" s="31"/>
    </row>
    <row r="415" ht="15.75" customHeight="1">
      <c r="A415" s="31"/>
    </row>
    <row r="416" ht="15.75" customHeight="1">
      <c r="A416" s="31"/>
    </row>
    <row r="417" ht="15.75" customHeight="1">
      <c r="A417" s="31"/>
    </row>
    <row r="418" ht="15.75" customHeight="1">
      <c r="A418" s="31"/>
    </row>
    <row r="419" ht="15.75" customHeight="1">
      <c r="A419" s="31"/>
    </row>
    <row r="420" ht="15.75" customHeight="1">
      <c r="A420" s="31"/>
    </row>
    <row r="421" ht="15.75" customHeight="1">
      <c r="A421" s="31"/>
    </row>
    <row r="422" ht="15.75" customHeight="1">
      <c r="A422" s="31"/>
    </row>
    <row r="423" ht="15.75" customHeight="1">
      <c r="A423" s="31"/>
    </row>
    <row r="424" ht="15.75" customHeight="1">
      <c r="A424" s="31"/>
    </row>
    <row r="425" ht="15.75" customHeight="1">
      <c r="A425" s="31"/>
    </row>
    <row r="426" ht="15.75" customHeight="1">
      <c r="A426" s="31"/>
    </row>
    <row r="427" ht="15.75" customHeight="1">
      <c r="A427" s="31"/>
    </row>
    <row r="428" ht="15.75" customHeight="1">
      <c r="A428" s="31"/>
    </row>
    <row r="429" ht="15.75" customHeight="1">
      <c r="A429" s="31"/>
    </row>
    <row r="430" ht="15.75" customHeight="1">
      <c r="A430" s="31"/>
    </row>
    <row r="431" ht="15.75" customHeight="1">
      <c r="A431" s="31"/>
    </row>
    <row r="432" ht="15.75" customHeight="1">
      <c r="A432" s="31"/>
    </row>
    <row r="433" ht="15.75" customHeight="1">
      <c r="A433" s="31"/>
    </row>
    <row r="434" ht="15.75" customHeight="1">
      <c r="A434" s="31"/>
    </row>
    <row r="435" ht="15.75" customHeight="1">
      <c r="A435" s="31"/>
    </row>
    <row r="436" ht="15.75" customHeight="1">
      <c r="A436" s="31"/>
    </row>
    <row r="437" ht="15.75" customHeight="1">
      <c r="A437" s="31"/>
    </row>
    <row r="438" ht="15.75" customHeight="1">
      <c r="A438" s="31"/>
    </row>
    <row r="439" ht="15.75" customHeight="1">
      <c r="A439" s="31"/>
    </row>
    <row r="440" ht="15.75" customHeight="1">
      <c r="A440" s="31"/>
    </row>
    <row r="441" ht="15.75" customHeight="1">
      <c r="A441" s="31"/>
    </row>
    <row r="442" ht="15.75" customHeight="1">
      <c r="A442" s="31"/>
    </row>
    <row r="443" ht="15.75" customHeight="1">
      <c r="A443" s="31"/>
    </row>
    <row r="444" ht="15.75" customHeight="1">
      <c r="A444" s="31"/>
    </row>
    <row r="445" ht="15.75" customHeight="1">
      <c r="A445" s="31"/>
    </row>
    <row r="446" ht="15.75" customHeight="1">
      <c r="A446" s="31"/>
    </row>
    <row r="447" ht="15.75" customHeight="1">
      <c r="A447" s="31"/>
    </row>
    <row r="448" ht="15.75" customHeight="1">
      <c r="A448" s="31"/>
    </row>
    <row r="449" ht="15.75" customHeight="1">
      <c r="A449" s="31"/>
    </row>
    <row r="450" ht="15.75" customHeight="1">
      <c r="A450" s="31"/>
    </row>
    <row r="451" ht="15.75" customHeight="1">
      <c r="A451" s="31"/>
    </row>
    <row r="452" ht="15.75" customHeight="1">
      <c r="A452" s="31"/>
    </row>
    <row r="453" ht="15.75" customHeight="1">
      <c r="A453" s="31"/>
    </row>
    <row r="454" ht="15.75" customHeight="1">
      <c r="A454" s="31"/>
    </row>
    <row r="455" ht="15.75" customHeight="1">
      <c r="A455" s="31"/>
    </row>
    <row r="456" ht="15.75" customHeight="1">
      <c r="A456" s="31"/>
    </row>
    <row r="457" ht="15.75" customHeight="1">
      <c r="A457" s="31"/>
    </row>
    <row r="458" ht="15.75" customHeight="1">
      <c r="A458" s="31"/>
    </row>
    <row r="459" ht="15.75" customHeight="1">
      <c r="A459" s="31"/>
    </row>
    <row r="460" ht="15.75" customHeight="1">
      <c r="A460" s="31"/>
    </row>
    <row r="461" ht="15.75" customHeight="1">
      <c r="A461" s="31"/>
    </row>
    <row r="462" ht="15.75" customHeight="1">
      <c r="A462" s="31"/>
    </row>
    <row r="463" ht="15.75" customHeight="1">
      <c r="A463" s="31"/>
    </row>
    <row r="464" ht="15.75" customHeight="1">
      <c r="A464" s="31"/>
    </row>
    <row r="465" ht="15.75" customHeight="1">
      <c r="A465" s="31"/>
    </row>
    <row r="466" ht="15.75" customHeight="1">
      <c r="A466" s="31"/>
    </row>
    <row r="467" ht="15.75" customHeight="1">
      <c r="A467" s="31"/>
    </row>
    <row r="468" ht="15.75" customHeight="1">
      <c r="A468" s="31"/>
    </row>
    <row r="469" ht="15.75" customHeight="1">
      <c r="A469" s="31"/>
    </row>
    <row r="470" ht="15.75" customHeight="1">
      <c r="A470" s="31"/>
    </row>
    <row r="471" ht="15.75" customHeight="1">
      <c r="A471" s="31"/>
    </row>
    <row r="472" ht="15.75" customHeight="1">
      <c r="A472" s="31"/>
    </row>
    <row r="473" ht="15.75" customHeight="1">
      <c r="A473" s="31"/>
    </row>
    <row r="474" ht="15.75" customHeight="1">
      <c r="A474" s="31"/>
    </row>
    <row r="475" ht="15.75" customHeight="1">
      <c r="A475" s="31"/>
    </row>
    <row r="476" ht="15.75" customHeight="1">
      <c r="A476" s="31"/>
    </row>
    <row r="477" ht="15.75" customHeight="1">
      <c r="A477" s="31"/>
    </row>
    <row r="478" ht="15.75" customHeight="1">
      <c r="A478" s="31"/>
    </row>
    <row r="479" ht="15.75" customHeight="1">
      <c r="A479" s="31"/>
    </row>
    <row r="480" ht="15.75" customHeight="1">
      <c r="A480" s="31"/>
    </row>
    <row r="481" ht="15.75" customHeight="1">
      <c r="A481" s="31"/>
    </row>
    <row r="482" ht="15.75" customHeight="1">
      <c r="A482" s="31"/>
    </row>
    <row r="483" ht="15.75" customHeight="1">
      <c r="A483" s="31"/>
    </row>
    <row r="484" ht="15.75" customHeight="1">
      <c r="A484" s="31"/>
    </row>
    <row r="485" ht="15.75" customHeight="1">
      <c r="A485" s="31"/>
    </row>
    <row r="486" ht="15.75" customHeight="1">
      <c r="A486" s="31"/>
    </row>
    <row r="487" ht="15.75" customHeight="1">
      <c r="A487" s="31"/>
    </row>
    <row r="488" ht="15.75" customHeight="1">
      <c r="A488" s="31"/>
    </row>
    <row r="489" ht="15.75" customHeight="1">
      <c r="A489" s="31"/>
    </row>
    <row r="490" ht="15.75" customHeight="1">
      <c r="A490" s="31"/>
    </row>
    <row r="491" ht="15.75" customHeight="1">
      <c r="A491" s="31"/>
    </row>
    <row r="492" ht="15.75" customHeight="1">
      <c r="A492" s="31"/>
    </row>
    <row r="493" ht="15.75" customHeight="1">
      <c r="A493" s="31"/>
    </row>
    <row r="494" ht="15.75" customHeight="1">
      <c r="A494" s="31"/>
    </row>
    <row r="495" ht="15.75" customHeight="1">
      <c r="A495" s="31"/>
    </row>
    <row r="496" ht="15.75" customHeight="1">
      <c r="A496" s="31"/>
    </row>
    <row r="497" ht="15.75" customHeight="1">
      <c r="A497" s="31"/>
    </row>
    <row r="498" ht="15.75" customHeight="1">
      <c r="A498" s="31"/>
    </row>
    <row r="499" ht="15.75" customHeight="1">
      <c r="A499" s="31"/>
    </row>
    <row r="500" ht="15.75" customHeight="1">
      <c r="A500" s="31"/>
    </row>
    <row r="501" ht="15.75" customHeight="1">
      <c r="A501" s="31"/>
    </row>
    <row r="502" ht="15.75" customHeight="1">
      <c r="A502" s="31"/>
    </row>
    <row r="503" ht="15.75" customHeight="1">
      <c r="A503" s="31"/>
    </row>
    <row r="504" ht="15.75" customHeight="1">
      <c r="A504" s="31"/>
    </row>
    <row r="505" ht="15.75" customHeight="1">
      <c r="A505" s="31"/>
    </row>
    <row r="506" ht="15.75" customHeight="1">
      <c r="A506" s="31"/>
    </row>
    <row r="507" ht="15.75" customHeight="1">
      <c r="A507" s="31"/>
    </row>
    <row r="508" ht="15.75" customHeight="1">
      <c r="A508" s="31"/>
    </row>
    <row r="509" ht="15.75" customHeight="1">
      <c r="A509" s="31"/>
    </row>
    <row r="510" ht="15.75" customHeight="1">
      <c r="A510" s="31"/>
    </row>
    <row r="511" ht="15.75" customHeight="1">
      <c r="A511" s="31"/>
    </row>
    <row r="512" ht="15.75" customHeight="1">
      <c r="A512" s="31"/>
    </row>
    <row r="513" ht="15.75" customHeight="1">
      <c r="A513" s="31"/>
    </row>
    <row r="514" ht="15.75" customHeight="1">
      <c r="A514" s="31"/>
    </row>
    <row r="515" ht="15.75" customHeight="1">
      <c r="A515" s="31"/>
    </row>
    <row r="516" ht="15.75" customHeight="1">
      <c r="A516" s="31"/>
    </row>
    <row r="517" ht="15.75" customHeight="1">
      <c r="A517" s="31"/>
    </row>
    <row r="518" ht="15.75" customHeight="1">
      <c r="A518" s="31"/>
    </row>
    <row r="519" ht="15.75" customHeight="1">
      <c r="A519" s="31"/>
    </row>
    <row r="520" ht="15.75" customHeight="1">
      <c r="A520" s="31"/>
    </row>
    <row r="521" ht="15.75" customHeight="1">
      <c r="A521" s="31"/>
    </row>
    <row r="522" ht="15.75" customHeight="1">
      <c r="A522" s="31"/>
    </row>
    <row r="523" ht="15.75" customHeight="1">
      <c r="A523" s="31"/>
    </row>
    <row r="524" ht="15.75" customHeight="1">
      <c r="A524" s="31"/>
    </row>
    <row r="525" ht="15.75" customHeight="1">
      <c r="A525" s="31"/>
    </row>
    <row r="526" ht="15.75" customHeight="1">
      <c r="A526" s="31"/>
    </row>
    <row r="527" ht="15.75" customHeight="1">
      <c r="A527" s="31"/>
    </row>
    <row r="528" ht="15.75" customHeight="1">
      <c r="A528" s="31"/>
    </row>
    <row r="529" ht="15.75" customHeight="1">
      <c r="A529" s="31"/>
    </row>
    <row r="530" ht="15.75" customHeight="1">
      <c r="A530" s="31"/>
    </row>
    <row r="531" ht="15.75" customHeight="1">
      <c r="A531" s="31"/>
    </row>
    <row r="532" ht="15.75" customHeight="1">
      <c r="A532" s="31"/>
    </row>
    <row r="533" ht="15.75" customHeight="1">
      <c r="A533" s="31"/>
    </row>
    <row r="534" ht="15.75" customHeight="1">
      <c r="A534" s="31"/>
    </row>
    <row r="535" ht="15.75" customHeight="1">
      <c r="A535" s="31"/>
    </row>
    <row r="536" ht="15.75" customHeight="1">
      <c r="A536" s="31"/>
    </row>
    <row r="537" ht="15.75" customHeight="1">
      <c r="A537" s="31"/>
    </row>
    <row r="538" ht="15.75" customHeight="1">
      <c r="A538" s="31"/>
    </row>
    <row r="539" ht="15.75" customHeight="1">
      <c r="A539" s="31"/>
    </row>
    <row r="540" ht="15.75" customHeight="1">
      <c r="A540" s="31"/>
    </row>
    <row r="541" ht="15.75" customHeight="1">
      <c r="A541" s="31"/>
    </row>
    <row r="542" ht="15.75" customHeight="1">
      <c r="A542" s="31"/>
    </row>
    <row r="543" ht="15.75" customHeight="1">
      <c r="A543" s="31"/>
    </row>
    <row r="544" ht="15.75" customHeight="1">
      <c r="A544" s="31"/>
    </row>
    <row r="545" ht="15.75" customHeight="1">
      <c r="A545" s="31"/>
    </row>
    <row r="546" ht="15.75" customHeight="1">
      <c r="A546" s="31"/>
    </row>
    <row r="547" ht="15.75" customHeight="1">
      <c r="A547" s="31"/>
    </row>
    <row r="548" ht="15.75" customHeight="1">
      <c r="A548" s="31"/>
    </row>
    <row r="549" ht="15.75" customHeight="1">
      <c r="A549" s="31"/>
    </row>
    <row r="550" ht="15.75" customHeight="1">
      <c r="A550" s="31"/>
    </row>
    <row r="551" ht="15.75" customHeight="1">
      <c r="A551" s="31"/>
    </row>
    <row r="552" ht="15.75" customHeight="1">
      <c r="A552" s="31"/>
    </row>
    <row r="553" ht="15.75" customHeight="1">
      <c r="A553" s="31"/>
    </row>
    <row r="554" ht="15.75" customHeight="1">
      <c r="A554" s="31"/>
    </row>
    <row r="555" ht="15.75" customHeight="1">
      <c r="A555" s="31"/>
    </row>
    <row r="556" ht="15.75" customHeight="1">
      <c r="A556" s="31"/>
    </row>
    <row r="557" ht="15.75" customHeight="1">
      <c r="A557" s="31"/>
    </row>
    <row r="558" ht="15.75" customHeight="1">
      <c r="A558" s="31"/>
    </row>
    <row r="559" ht="15.75" customHeight="1">
      <c r="A559" s="31"/>
    </row>
    <row r="560" ht="15.75" customHeight="1">
      <c r="A560" s="31"/>
    </row>
    <row r="561" ht="15.75" customHeight="1">
      <c r="A561" s="31"/>
    </row>
    <row r="562" ht="15.75" customHeight="1">
      <c r="A562" s="31"/>
    </row>
    <row r="563" ht="15.75" customHeight="1">
      <c r="A563" s="31"/>
    </row>
    <row r="564" ht="15.75" customHeight="1">
      <c r="A564" s="31"/>
    </row>
    <row r="565" ht="15.75" customHeight="1">
      <c r="A565" s="31"/>
    </row>
    <row r="566" ht="15.75" customHeight="1">
      <c r="A566" s="31"/>
    </row>
    <row r="567" ht="15.75" customHeight="1">
      <c r="A567" s="31"/>
    </row>
    <row r="568" ht="15.75" customHeight="1">
      <c r="A568" s="31"/>
    </row>
    <row r="569" ht="15.75" customHeight="1">
      <c r="A569" s="31"/>
    </row>
    <row r="570" ht="15.75" customHeight="1">
      <c r="A570" s="31"/>
    </row>
    <row r="571" ht="15.75" customHeight="1">
      <c r="A571" s="31"/>
    </row>
    <row r="572" ht="15.75" customHeight="1">
      <c r="A572" s="31"/>
    </row>
    <row r="573" ht="15.75" customHeight="1">
      <c r="A573" s="31"/>
    </row>
    <row r="574" ht="15.75" customHeight="1">
      <c r="A574" s="31"/>
    </row>
    <row r="575" ht="15.75" customHeight="1">
      <c r="A575" s="31"/>
    </row>
    <row r="576" ht="15.75" customHeight="1">
      <c r="A576" s="31"/>
    </row>
    <row r="577" ht="15.75" customHeight="1">
      <c r="A577" s="31"/>
    </row>
    <row r="578" ht="15.75" customHeight="1">
      <c r="A578" s="31"/>
    </row>
    <row r="579" ht="15.75" customHeight="1">
      <c r="A579" s="31"/>
    </row>
    <row r="580" ht="15.75" customHeight="1">
      <c r="A580" s="31"/>
    </row>
    <row r="581" ht="15.75" customHeight="1">
      <c r="A581" s="31"/>
    </row>
    <row r="582" ht="15.75" customHeight="1">
      <c r="A582" s="31"/>
    </row>
    <row r="583" ht="15.75" customHeight="1">
      <c r="A583" s="31"/>
    </row>
    <row r="584" ht="15.75" customHeight="1">
      <c r="A584" s="31"/>
    </row>
    <row r="585" ht="15.75" customHeight="1">
      <c r="A585" s="31"/>
    </row>
    <row r="586" ht="15.75" customHeight="1">
      <c r="A586" s="31"/>
    </row>
    <row r="587" ht="15.75" customHeight="1">
      <c r="A587" s="31"/>
    </row>
    <row r="588" ht="15.75" customHeight="1">
      <c r="A588" s="31"/>
    </row>
    <row r="589" ht="15.75" customHeight="1">
      <c r="A589" s="31"/>
    </row>
    <row r="590" ht="15.75" customHeight="1">
      <c r="A590" s="31"/>
    </row>
    <row r="591" ht="15.75" customHeight="1">
      <c r="A591" s="31"/>
    </row>
    <row r="592" ht="15.75" customHeight="1">
      <c r="A592" s="31"/>
    </row>
    <row r="593" ht="15.75" customHeight="1">
      <c r="A593" s="31"/>
    </row>
    <row r="594" ht="15.75" customHeight="1">
      <c r="A594" s="31"/>
    </row>
    <row r="595" ht="15.75" customHeight="1">
      <c r="A595" s="31"/>
    </row>
    <row r="596" ht="15.75" customHeight="1">
      <c r="A596" s="31"/>
    </row>
    <row r="597" ht="15.75" customHeight="1">
      <c r="A597" s="31"/>
    </row>
    <row r="598" ht="15.75" customHeight="1">
      <c r="A598" s="31"/>
    </row>
    <row r="599" ht="15.75" customHeight="1">
      <c r="A599" s="31"/>
    </row>
    <row r="600" ht="15.75" customHeight="1">
      <c r="A600" s="31"/>
    </row>
    <row r="601" ht="15.75" customHeight="1">
      <c r="A601" s="31"/>
    </row>
    <row r="602" ht="15.75" customHeight="1">
      <c r="A602" s="31"/>
    </row>
    <row r="603" ht="15.75" customHeight="1">
      <c r="A603" s="31"/>
    </row>
    <row r="604" ht="15.75" customHeight="1">
      <c r="A604" s="31"/>
    </row>
    <row r="605" ht="15.75" customHeight="1">
      <c r="A605" s="31"/>
    </row>
    <row r="606" ht="15.75" customHeight="1">
      <c r="A606" s="31"/>
    </row>
    <row r="607" ht="15.75" customHeight="1">
      <c r="A607" s="31"/>
    </row>
    <row r="608" ht="15.75" customHeight="1">
      <c r="A608" s="31"/>
    </row>
    <row r="609" ht="15.75" customHeight="1">
      <c r="A609" s="31"/>
    </row>
    <row r="610" ht="15.75" customHeight="1">
      <c r="A610" s="31"/>
    </row>
    <row r="611" ht="15.75" customHeight="1">
      <c r="A611" s="31"/>
    </row>
    <row r="612" ht="15.75" customHeight="1">
      <c r="A612" s="31"/>
    </row>
    <row r="613" ht="15.75" customHeight="1">
      <c r="A613" s="31"/>
    </row>
    <row r="614" ht="15.75" customHeight="1">
      <c r="A614" s="31"/>
    </row>
    <row r="615" ht="15.75" customHeight="1">
      <c r="A615" s="31"/>
    </row>
    <row r="616" ht="15.75" customHeight="1">
      <c r="A616" s="31"/>
    </row>
    <row r="617" ht="15.75" customHeight="1">
      <c r="A617" s="31"/>
    </row>
    <row r="618" ht="15.75" customHeight="1">
      <c r="A618" s="31"/>
    </row>
    <row r="619" ht="15.75" customHeight="1">
      <c r="A619" s="31"/>
    </row>
    <row r="620" ht="15.75" customHeight="1">
      <c r="A620" s="31"/>
    </row>
    <row r="621" ht="15.75" customHeight="1">
      <c r="A621" s="31"/>
    </row>
    <row r="622" ht="15.75" customHeight="1">
      <c r="A622" s="31"/>
    </row>
    <row r="623" ht="15.75" customHeight="1">
      <c r="A623" s="31"/>
    </row>
    <row r="624" ht="15.75" customHeight="1">
      <c r="A624" s="31"/>
    </row>
    <row r="625" ht="15.75" customHeight="1">
      <c r="A625" s="31"/>
    </row>
    <row r="626" ht="15.75" customHeight="1">
      <c r="A626" s="31"/>
    </row>
    <row r="627" ht="15.75" customHeight="1">
      <c r="A627" s="31"/>
    </row>
    <row r="628" ht="15.75" customHeight="1">
      <c r="A628" s="31"/>
    </row>
    <row r="629" ht="15.75" customHeight="1">
      <c r="A629" s="31"/>
    </row>
    <row r="630" ht="15.75" customHeight="1">
      <c r="A630" s="31"/>
    </row>
    <row r="631" ht="15.75" customHeight="1">
      <c r="A631" s="31"/>
    </row>
    <row r="632" ht="15.75" customHeight="1">
      <c r="A632" s="31"/>
    </row>
    <row r="633" ht="15.75" customHeight="1">
      <c r="A633" s="31"/>
    </row>
    <row r="634" ht="15.75" customHeight="1">
      <c r="A634" s="31"/>
    </row>
    <row r="635" ht="15.75" customHeight="1">
      <c r="A635" s="31"/>
    </row>
    <row r="636" ht="15.75" customHeight="1">
      <c r="A636" s="31"/>
    </row>
    <row r="637" ht="15.75" customHeight="1">
      <c r="A637" s="31"/>
    </row>
    <row r="638" ht="15.75" customHeight="1">
      <c r="A638" s="31"/>
    </row>
    <row r="639" ht="15.75" customHeight="1">
      <c r="A639" s="31"/>
    </row>
    <row r="640" ht="15.75" customHeight="1">
      <c r="A640" s="31"/>
    </row>
    <row r="641" ht="15.75" customHeight="1">
      <c r="A641" s="31"/>
    </row>
    <row r="642" ht="15.75" customHeight="1">
      <c r="A642" s="31"/>
    </row>
    <row r="643" ht="15.75" customHeight="1">
      <c r="A643" s="31"/>
    </row>
    <row r="644" ht="15.75" customHeight="1">
      <c r="A644" s="31"/>
    </row>
    <row r="645" ht="15.75" customHeight="1">
      <c r="A645" s="31"/>
    </row>
    <row r="646" ht="15.75" customHeight="1">
      <c r="A646" s="31"/>
    </row>
    <row r="647" ht="15.75" customHeight="1">
      <c r="A647" s="31"/>
    </row>
    <row r="648" ht="15.75" customHeight="1">
      <c r="A648" s="31"/>
    </row>
    <row r="649" ht="15.75" customHeight="1">
      <c r="A649" s="31"/>
    </row>
    <row r="650" ht="15.75" customHeight="1">
      <c r="A650" s="31"/>
    </row>
    <row r="651" ht="15.75" customHeight="1">
      <c r="A651" s="31"/>
    </row>
    <row r="652" ht="15.75" customHeight="1">
      <c r="A652" s="31"/>
    </row>
    <row r="653" ht="15.75" customHeight="1">
      <c r="A653" s="31"/>
    </row>
    <row r="654" ht="15.75" customHeight="1">
      <c r="A654" s="31"/>
    </row>
    <row r="655" ht="15.75" customHeight="1">
      <c r="A655" s="31"/>
    </row>
    <row r="656" ht="15.75" customHeight="1">
      <c r="A656" s="31"/>
    </row>
    <row r="657" ht="15.75" customHeight="1">
      <c r="A657" s="31"/>
    </row>
    <row r="658" ht="15.75" customHeight="1">
      <c r="A658" s="31"/>
    </row>
    <row r="659" ht="15.75" customHeight="1">
      <c r="A659" s="31"/>
    </row>
    <row r="660" ht="15.75" customHeight="1">
      <c r="A660" s="31"/>
    </row>
    <row r="661" ht="15.75" customHeight="1">
      <c r="A661" s="31"/>
    </row>
    <row r="662" ht="15.75" customHeight="1">
      <c r="A662" s="31"/>
    </row>
    <row r="663" ht="15.75" customHeight="1">
      <c r="A663" s="31"/>
    </row>
    <row r="664" ht="15.75" customHeight="1">
      <c r="A664" s="31"/>
    </row>
    <row r="665" ht="15.75" customHeight="1">
      <c r="A665" s="31"/>
    </row>
    <row r="666" ht="15.75" customHeight="1">
      <c r="A666" s="31"/>
    </row>
    <row r="667" ht="15.75" customHeight="1">
      <c r="A667" s="31"/>
    </row>
    <row r="668" ht="15.75" customHeight="1">
      <c r="A668" s="31"/>
    </row>
    <row r="669" ht="15.75" customHeight="1">
      <c r="A669" s="31"/>
    </row>
    <row r="670" ht="15.75" customHeight="1">
      <c r="A670" s="31"/>
    </row>
    <row r="671" ht="15.75" customHeight="1">
      <c r="A671" s="31"/>
    </row>
    <row r="672" ht="15.75" customHeight="1">
      <c r="A672" s="31"/>
    </row>
    <row r="673" ht="15.75" customHeight="1">
      <c r="A673" s="31"/>
    </row>
    <row r="674" ht="15.75" customHeight="1">
      <c r="A674" s="31"/>
    </row>
    <row r="675" ht="15.75" customHeight="1">
      <c r="A675" s="31"/>
    </row>
    <row r="676" ht="15.75" customHeight="1">
      <c r="A676" s="31"/>
    </row>
    <row r="677" ht="15.75" customHeight="1">
      <c r="A677" s="31"/>
    </row>
    <row r="678" ht="15.75" customHeight="1">
      <c r="A678" s="31"/>
    </row>
    <row r="679" ht="15.75" customHeight="1">
      <c r="A679" s="31"/>
    </row>
    <row r="680" ht="15.75" customHeight="1">
      <c r="A680" s="31"/>
    </row>
    <row r="681" ht="15.75" customHeight="1">
      <c r="A681" s="31"/>
    </row>
    <row r="682" ht="15.75" customHeight="1">
      <c r="A682" s="31"/>
    </row>
    <row r="683" ht="15.75" customHeight="1">
      <c r="A683" s="31"/>
    </row>
    <row r="684" ht="15.75" customHeight="1">
      <c r="A684" s="31"/>
    </row>
    <row r="685" ht="15.75" customHeight="1">
      <c r="A685" s="31"/>
    </row>
    <row r="686" ht="15.75" customHeight="1">
      <c r="A686" s="31"/>
    </row>
    <row r="687" ht="15.75" customHeight="1">
      <c r="A687" s="31"/>
    </row>
    <row r="688" ht="15.75" customHeight="1">
      <c r="A688" s="31"/>
    </row>
    <row r="689" ht="15.75" customHeight="1">
      <c r="A689" s="31"/>
    </row>
    <row r="690" ht="15.75" customHeight="1">
      <c r="A690" s="31"/>
    </row>
    <row r="691" ht="15.75" customHeight="1">
      <c r="A691" s="31"/>
    </row>
    <row r="692" ht="15.75" customHeight="1">
      <c r="A692" s="31"/>
    </row>
    <row r="693" ht="15.75" customHeight="1">
      <c r="A693" s="31"/>
    </row>
    <row r="694" ht="15.75" customHeight="1">
      <c r="A694" s="31"/>
    </row>
    <row r="695" ht="15.75" customHeight="1">
      <c r="A695" s="31"/>
    </row>
    <row r="696" ht="15.75" customHeight="1">
      <c r="A696" s="31"/>
    </row>
    <row r="697" ht="15.75" customHeight="1">
      <c r="A697" s="31"/>
    </row>
    <row r="698" ht="15.75" customHeight="1">
      <c r="A698" s="31"/>
    </row>
    <row r="699" ht="15.75" customHeight="1">
      <c r="A699" s="31"/>
    </row>
    <row r="700" ht="15.75" customHeight="1">
      <c r="A700" s="31"/>
    </row>
    <row r="701" ht="15.75" customHeight="1">
      <c r="A701" s="31"/>
    </row>
    <row r="702" ht="15.75" customHeight="1">
      <c r="A702" s="31"/>
    </row>
    <row r="703" ht="15.75" customHeight="1">
      <c r="A703" s="31"/>
    </row>
    <row r="704" ht="15.75" customHeight="1">
      <c r="A704" s="31"/>
    </row>
    <row r="705" ht="15.75" customHeight="1">
      <c r="A705" s="31"/>
    </row>
    <row r="706" ht="15.75" customHeight="1">
      <c r="A706" s="31"/>
    </row>
    <row r="707" ht="15.75" customHeight="1">
      <c r="A707" s="31"/>
    </row>
    <row r="708" ht="15.75" customHeight="1">
      <c r="A708" s="31"/>
    </row>
    <row r="709" ht="15.75" customHeight="1">
      <c r="A709" s="31"/>
    </row>
    <row r="710" ht="15.75" customHeight="1">
      <c r="A710" s="31"/>
    </row>
    <row r="711" ht="15.75" customHeight="1">
      <c r="A711" s="31"/>
    </row>
    <row r="712" ht="15.75" customHeight="1">
      <c r="A712" s="31"/>
    </row>
    <row r="713" ht="15.75" customHeight="1">
      <c r="A713" s="31"/>
    </row>
    <row r="714" ht="15.75" customHeight="1">
      <c r="A714" s="31"/>
    </row>
    <row r="715" ht="15.75" customHeight="1">
      <c r="A715" s="31"/>
    </row>
    <row r="716" ht="15.75" customHeight="1">
      <c r="A716" s="31"/>
    </row>
    <row r="717" ht="15.75" customHeight="1">
      <c r="A717" s="31"/>
    </row>
    <row r="718" ht="15.75" customHeight="1">
      <c r="A718" s="31"/>
    </row>
    <row r="719" ht="15.75" customHeight="1">
      <c r="A719" s="31"/>
    </row>
    <row r="720" ht="15.75" customHeight="1">
      <c r="A720" s="31"/>
    </row>
    <row r="721" ht="15.75" customHeight="1">
      <c r="A721" s="31"/>
    </row>
    <row r="722" ht="15.75" customHeight="1">
      <c r="A722" s="31"/>
    </row>
    <row r="723" ht="15.75" customHeight="1">
      <c r="A723" s="31"/>
    </row>
    <row r="724" ht="15.75" customHeight="1">
      <c r="A724" s="31"/>
    </row>
    <row r="725" ht="15.75" customHeight="1">
      <c r="A725" s="31"/>
    </row>
    <row r="726" ht="15.75" customHeight="1">
      <c r="A726" s="31"/>
    </row>
    <row r="727" ht="15.75" customHeight="1">
      <c r="A727" s="31"/>
    </row>
    <row r="728" ht="15.75" customHeight="1">
      <c r="A728" s="31"/>
    </row>
    <row r="729" ht="15.75" customHeight="1">
      <c r="A729" s="31"/>
    </row>
    <row r="730" ht="15.75" customHeight="1">
      <c r="A730" s="31"/>
    </row>
    <row r="731" ht="15.75" customHeight="1">
      <c r="A731" s="31"/>
    </row>
    <row r="732" ht="15.75" customHeight="1">
      <c r="A732" s="31"/>
    </row>
    <row r="733" ht="15.75" customHeight="1">
      <c r="A733" s="31"/>
    </row>
    <row r="734" ht="15.75" customHeight="1">
      <c r="A734" s="31"/>
    </row>
    <row r="735" ht="15.75" customHeight="1">
      <c r="A735" s="31"/>
    </row>
    <row r="736" ht="15.75" customHeight="1">
      <c r="A736" s="31"/>
    </row>
    <row r="737" ht="15.75" customHeight="1">
      <c r="A737" s="31"/>
    </row>
    <row r="738" ht="15.75" customHeight="1">
      <c r="A738" s="31"/>
    </row>
    <row r="739" ht="15.75" customHeight="1">
      <c r="A739" s="31"/>
    </row>
    <row r="740" ht="15.75" customHeight="1">
      <c r="A740" s="31"/>
    </row>
    <row r="741" ht="15.75" customHeight="1">
      <c r="A741" s="31"/>
    </row>
    <row r="742" ht="15.75" customHeight="1">
      <c r="A742" s="31"/>
    </row>
    <row r="743" ht="15.75" customHeight="1">
      <c r="A743" s="31"/>
    </row>
    <row r="744" ht="15.75" customHeight="1">
      <c r="A744" s="31"/>
    </row>
    <row r="745" ht="15.75" customHeight="1">
      <c r="A745" s="31"/>
    </row>
    <row r="746" ht="15.75" customHeight="1">
      <c r="A746" s="31"/>
    </row>
    <row r="747" ht="15.75" customHeight="1">
      <c r="A747" s="31"/>
    </row>
    <row r="748" ht="15.75" customHeight="1">
      <c r="A748" s="31"/>
    </row>
    <row r="749" ht="15.75" customHeight="1">
      <c r="A749" s="31"/>
    </row>
    <row r="750" ht="15.75" customHeight="1">
      <c r="A750" s="31"/>
    </row>
    <row r="751" ht="15.75" customHeight="1">
      <c r="A751" s="31"/>
    </row>
    <row r="752" ht="15.75" customHeight="1">
      <c r="A752" s="31"/>
    </row>
    <row r="753" ht="15.75" customHeight="1">
      <c r="A753" s="31"/>
    </row>
    <row r="754" ht="15.75" customHeight="1">
      <c r="A754" s="31"/>
    </row>
    <row r="755" ht="15.75" customHeight="1">
      <c r="A755" s="31"/>
    </row>
    <row r="756" ht="15.75" customHeight="1">
      <c r="A756" s="31"/>
    </row>
    <row r="757" ht="15.75" customHeight="1">
      <c r="A757" s="31"/>
    </row>
    <row r="758" ht="15.75" customHeight="1">
      <c r="A758" s="31"/>
    </row>
    <row r="759" ht="15.75" customHeight="1">
      <c r="A759" s="31"/>
    </row>
    <row r="760" ht="15.75" customHeight="1">
      <c r="A760" s="31"/>
    </row>
    <row r="761" ht="15.75" customHeight="1">
      <c r="A761" s="31"/>
    </row>
    <row r="762" ht="15.75" customHeight="1">
      <c r="A762" s="31"/>
    </row>
    <row r="763" ht="15.75" customHeight="1">
      <c r="A763" s="31"/>
    </row>
    <row r="764" ht="15.75" customHeight="1">
      <c r="A764" s="31"/>
    </row>
    <row r="765" ht="15.75" customHeight="1">
      <c r="A765" s="31"/>
    </row>
    <row r="766" ht="15.75" customHeight="1">
      <c r="A766" s="31"/>
    </row>
    <row r="767" ht="15.75" customHeight="1">
      <c r="A767" s="31"/>
    </row>
    <row r="768" ht="15.75" customHeight="1">
      <c r="A768" s="31"/>
    </row>
    <row r="769" ht="15.75" customHeight="1">
      <c r="A769" s="31"/>
    </row>
    <row r="770" ht="15.75" customHeight="1">
      <c r="A770" s="31"/>
    </row>
    <row r="771" ht="15.75" customHeight="1">
      <c r="A771" s="31"/>
    </row>
    <row r="772" ht="15.75" customHeight="1">
      <c r="A772" s="31"/>
    </row>
    <row r="773" ht="15.75" customHeight="1">
      <c r="A773" s="31"/>
    </row>
    <row r="774" ht="15.75" customHeight="1">
      <c r="A774" s="31"/>
    </row>
    <row r="775" ht="15.75" customHeight="1">
      <c r="A775" s="31"/>
    </row>
    <row r="776" ht="15.75" customHeight="1">
      <c r="A776" s="31"/>
    </row>
    <row r="777" ht="15.75" customHeight="1">
      <c r="A777" s="31"/>
    </row>
    <row r="778" ht="15.75" customHeight="1">
      <c r="A778" s="31"/>
    </row>
    <row r="779" ht="15.75" customHeight="1">
      <c r="A779" s="31"/>
    </row>
    <row r="780" ht="15.75" customHeight="1">
      <c r="A780" s="31"/>
    </row>
    <row r="781" ht="15.75" customHeight="1">
      <c r="A781" s="31"/>
    </row>
    <row r="782" ht="15.75" customHeight="1">
      <c r="A782" s="31"/>
    </row>
    <row r="783" ht="15.75" customHeight="1">
      <c r="A783" s="31"/>
    </row>
    <row r="784" ht="15.75" customHeight="1">
      <c r="A784" s="31"/>
    </row>
    <row r="785" ht="15.75" customHeight="1">
      <c r="A785" s="31"/>
    </row>
    <row r="786" ht="15.75" customHeight="1">
      <c r="A786" s="31"/>
    </row>
    <row r="787" ht="15.75" customHeight="1">
      <c r="A787" s="31"/>
    </row>
    <row r="788" ht="15.75" customHeight="1">
      <c r="A788" s="31"/>
    </row>
    <row r="789" ht="15.75" customHeight="1">
      <c r="A789" s="31"/>
    </row>
    <row r="790" ht="15.75" customHeight="1">
      <c r="A790" s="31"/>
    </row>
    <row r="791" ht="15.75" customHeight="1">
      <c r="A791" s="31"/>
    </row>
    <row r="792" ht="15.75" customHeight="1">
      <c r="A792" s="31"/>
    </row>
    <row r="793" ht="15.75" customHeight="1">
      <c r="A793" s="31"/>
    </row>
    <row r="794" ht="15.75" customHeight="1">
      <c r="A794" s="31"/>
    </row>
    <row r="795" ht="15.75" customHeight="1">
      <c r="A795" s="31"/>
    </row>
    <row r="796" ht="15.75" customHeight="1">
      <c r="A796" s="31"/>
    </row>
    <row r="797" ht="15.75" customHeight="1">
      <c r="A797" s="31"/>
    </row>
    <row r="798" ht="15.75" customHeight="1">
      <c r="A798" s="31"/>
    </row>
    <row r="799" ht="15.75" customHeight="1">
      <c r="A799" s="31"/>
    </row>
    <row r="800" ht="15.75" customHeight="1">
      <c r="A800" s="31"/>
    </row>
    <row r="801" ht="15.75" customHeight="1">
      <c r="A801" s="31"/>
    </row>
    <row r="802" ht="15.75" customHeight="1">
      <c r="A802" s="31"/>
    </row>
    <row r="803" ht="15.75" customHeight="1">
      <c r="A803" s="31"/>
    </row>
    <row r="804" ht="15.75" customHeight="1">
      <c r="A804" s="31"/>
    </row>
    <row r="805" ht="15.75" customHeight="1">
      <c r="A805" s="31"/>
    </row>
    <row r="806" ht="15.75" customHeight="1">
      <c r="A806" s="31"/>
    </row>
    <row r="807" ht="15.75" customHeight="1">
      <c r="A807" s="31"/>
    </row>
    <row r="808" ht="15.75" customHeight="1">
      <c r="A808" s="31"/>
    </row>
    <row r="809" ht="15.75" customHeight="1">
      <c r="A809" s="31"/>
    </row>
    <row r="810" ht="15.75" customHeight="1">
      <c r="A810" s="31"/>
    </row>
    <row r="811" ht="15.75" customHeight="1">
      <c r="A811" s="31"/>
    </row>
    <row r="812" ht="15.75" customHeight="1">
      <c r="A812" s="31"/>
    </row>
    <row r="813" ht="15.75" customHeight="1">
      <c r="A813" s="31"/>
    </row>
    <row r="814" ht="15.75" customHeight="1">
      <c r="A814" s="31"/>
    </row>
    <row r="815" ht="15.75" customHeight="1">
      <c r="A815" s="31"/>
    </row>
    <row r="816" ht="15.75" customHeight="1">
      <c r="A816" s="31"/>
    </row>
    <row r="817" ht="15.75" customHeight="1">
      <c r="A817" s="31"/>
    </row>
    <row r="818" ht="15.75" customHeight="1">
      <c r="A818" s="31"/>
    </row>
    <row r="819" ht="15.75" customHeight="1">
      <c r="A819" s="31"/>
    </row>
    <row r="820" ht="15.75" customHeight="1">
      <c r="A820" s="31"/>
    </row>
    <row r="821" ht="15.75" customHeight="1">
      <c r="A821" s="31"/>
    </row>
    <row r="822" ht="15.75" customHeight="1">
      <c r="A822" s="31"/>
    </row>
    <row r="823" ht="15.75" customHeight="1">
      <c r="A823" s="31"/>
    </row>
    <row r="824" ht="15.75" customHeight="1">
      <c r="A824" s="31"/>
    </row>
    <row r="825" ht="15.75" customHeight="1">
      <c r="A825" s="31"/>
    </row>
    <row r="826" ht="15.75" customHeight="1">
      <c r="A826" s="31"/>
    </row>
    <row r="827" ht="15.75" customHeight="1">
      <c r="A827" s="31"/>
    </row>
    <row r="828" ht="15.75" customHeight="1">
      <c r="A828" s="31"/>
    </row>
    <row r="829" ht="15.75" customHeight="1">
      <c r="A829" s="31"/>
    </row>
    <row r="830" ht="15.75" customHeight="1">
      <c r="A830" s="31"/>
    </row>
    <row r="831" ht="15.75" customHeight="1">
      <c r="A831" s="31"/>
    </row>
    <row r="832" ht="15.75" customHeight="1">
      <c r="A832" s="31"/>
    </row>
    <row r="833" ht="15.75" customHeight="1">
      <c r="A833" s="31"/>
    </row>
    <row r="834" ht="15.75" customHeight="1">
      <c r="A834" s="31"/>
    </row>
    <row r="835" ht="15.75" customHeight="1">
      <c r="A835" s="31"/>
    </row>
    <row r="836" ht="15.75" customHeight="1">
      <c r="A836" s="31"/>
    </row>
    <row r="837" ht="15.75" customHeight="1">
      <c r="A837" s="31"/>
    </row>
    <row r="838" ht="15.75" customHeight="1">
      <c r="A838" s="31"/>
    </row>
    <row r="839" ht="15.75" customHeight="1">
      <c r="A839" s="31"/>
    </row>
    <row r="840" ht="15.75" customHeight="1">
      <c r="A840" s="31"/>
    </row>
    <row r="841" ht="15.75" customHeight="1">
      <c r="A841" s="31"/>
    </row>
    <row r="842" ht="15.75" customHeight="1">
      <c r="A842" s="31"/>
    </row>
    <row r="843" ht="15.75" customHeight="1">
      <c r="A843" s="31"/>
    </row>
    <row r="844" ht="15.75" customHeight="1">
      <c r="A844" s="31"/>
    </row>
    <row r="845" ht="15.75" customHeight="1">
      <c r="A845" s="31"/>
    </row>
    <row r="846" ht="15.75" customHeight="1">
      <c r="A846" s="31"/>
    </row>
    <row r="847" ht="15.75" customHeight="1">
      <c r="A847" s="31"/>
    </row>
    <row r="848" ht="15.75" customHeight="1">
      <c r="A848" s="31"/>
    </row>
    <row r="849" ht="15.75" customHeight="1">
      <c r="A849" s="31"/>
    </row>
    <row r="850" ht="15.75" customHeight="1">
      <c r="A850" s="31"/>
    </row>
    <row r="851" ht="15.75" customHeight="1">
      <c r="A851" s="31"/>
    </row>
    <row r="852" ht="15.75" customHeight="1">
      <c r="A852" s="31"/>
    </row>
    <row r="853" ht="15.75" customHeight="1">
      <c r="A853" s="31"/>
    </row>
    <row r="854" ht="15.75" customHeight="1">
      <c r="A854" s="31"/>
    </row>
    <row r="855" ht="15.75" customHeight="1">
      <c r="A855" s="31"/>
    </row>
    <row r="856" ht="15.75" customHeight="1">
      <c r="A856" s="31"/>
    </row>
    <row r="857" ht="15.75" customHeight="1">
      <c r="A857" s="31"/>
    </row>
    <row r="858" ht="15.75" customHeight="1">
      <c r="A858" s="31"/>
    </row>
    <row r="859" ht="15.75" customHeight="1">
      <c r="A859" s="31"/>
    </row>
    <row r="860" ht="15.75" customHeight="1">
      <c r="A860" s="31"/>
    </row>
    <row r="861" ht="15.75" customHeight="1">
      <c r="A861" s="31"/>
    </row>
    <row r="862" ht="15.75" customHeight="1">
      <c r="A862" s="31"/>
    </row>
    <row r="863" ht="15.75" customHeight="1">
      <c r="A863" s="31"/>
    </row>
    <row r="864" ht="15.75" customHeight="1">
      <c r="A864" s="31"/>
    </row>
    <row r="865" ht="15.75" customHeight="1">
      <c r="A865" s="31"/>
    </row>
    <row r="866" ht="15.75" customHeight="1">
      <c r="A866" s="31"/>
    </row>
    <row r="867" ht="15.75" customHeight="1">
      <c r="A867" s="31"/>
    </row>
    <row r="868" ht="15.75" customHeight="1">
      <c r="A868" s="31"/>
    </row>
    <row r="869" ht="15.75" customHeight="1">
      <c r="A869" s="31"/>
    </row>
    <row r="870" ht="15.75" customHeight="1">
      <c r="A870" s="31"/>
    </row>
    <row r="871" ht="15.75" customHeight="1">
      <c r="A871" s="31"/>
    </row>
    <row r="872" ht="15.75" customHeight="1">
      <c r="A872" s="31"/>
    </row>
    <row r="873" ht="15.75" customHeight="1">
      <c r="A873" s="31"/>
    </row>
    <row r="874" ht="15.75" customHeight="1">
      <c r="A874" s="31"/>
    </row>
    <row r="875" ht="15.75" customHeight="1">
      <c r="A875" s="31"/>
    </row>
    <row r="876" ht="15.75" customHeight="1">
      <c r="A876" s="31"/>
    </row>
    <row r="877" ht="15.75" customHeight="1">
      <c r="A877" s="31"/>
    </row>
    <row r="878" ht="15.75" customHeight="1">
      <c r="A878" s="31"/>
    </row>
    <row r="879" ht="15.75" customHeight="1">
      <c r="A879" s="31"/>
    </row>
    <row r="880" ht="15.75" customHeight="1">
      <c r="A880" s="31"/>
    </row>
    <row r="881" ht="15.75" customHeight="1">
      <c r="A881" s="31"/>
    </row>
    <row r="882" ht="15.75" customHeight="1">
      <c r="A882" s="31"/>
    </row>
    <row r="883" ht="15.75" customHeight="1">
      <c r="A883" s="31"/>
    </row>
    <row r="884" ht="15.75" customHeight="1">
      <c r="A884" s="31"/>
    </row>
    <row r="885" ht="15.75" customHeight="1">
      <c r="A885" s="31"/>
    </row>
    <row r="886" ht="15.75" customHeight="1">
      <c r="A886" s="31"/>
    </row>
    <row r="887" ht="15.75" customHeight="1">
      <c r="A887" s="31"/>
    </row>
    <row r="888" ht="15.75" customHeight="1">
      <c r="A888" s="31"/>
    </row>
    <row r="889" ht="15.75" customHeight="1">
      <c r="A889" s="31"/>
    </row>
    <row r="890" ht="15.75" customHeight="1">
      <c r="A890" s="31"/>
    </row>
    <row r="891" ht="15.75" customHeight="1">
      <c r="A891" s="31"/>
    </row>
    <row r="892" ht="15.75" customHeight="1">
      <c r="A892" s="31"/>
    </row>
    <row r="893" ht="15.75" customHeight="1">
      <c r="A893" s="31"/>
    </row>
    <row r="894" ht="15.75" customHeight="1">
      <c r="A894" s="31"/>
    </row>
    <row r="895" ht="15.75" customHeight="1">
      <c r="A895" s="31"/>
    </row>
    <row r="896" ht="15.75" customHeight="1">
      <c r="A896" s="31"/>
    </row>
    <row r="897" ht="15.75" customHeight="1">
      <c r="A897" s="31"/>
    </row>
    <row r="898" ht="15.75" customHeight="1">
      <c r="A898" s="31"/>
    </row>
    <row r="899" ht="15.75" customHeight="1">
      <c r="A899" s="31"/>
    </row>
    <row r="900" ht="15.75" customHeight="1">
      <c r="A900" s="31"/>
    </row>
    <row r="901" ht="15.75" customHeight="1">
      <c r="A901" s="31"/>
    </row>
    <row r="902" ht="15.75" customHeight="1">
      <c r="A902" s="31"/>
    </row>
    <row r="903" ht="15.75" customHeight="1">
      <c r="A903" s="31"/>
    </row>
    <row r="904" ht="15.75" customHeight="1">
      <c r="A904" s="31"/>
    </row>
    <row r="905" ht="15.75" customHeight="1">
      <c r="A905" s="31"/>
    </row>
    <row r="906" ht="15.75" customHeight="1">
      <c r="A906" s="31"/>
    </row>
    <row r="907" ht="15.75" customHeight="1">
      <c r="A907" s="31"/>
    </row>
    <row r="908" ht="15.75" customHeight="1">
      <c r="A908" s="31"/>
    </row>
    <row r="909" ht="15.75" customHeight="1">
      <c r="A909" s="31"/>
    </row>
    <row r="910" ht="15.75" customHeight="1">
      <c r="A910" s="31"/>
    </row>
    <row r="911" ht="15.75" customHeight="1">
      <c r="A911" s="31"/>
    </row>
    <row r="912" ht="15.75" customHeight="1">
      <c r="A912" s="31"/>
    </row>
    <row r="913" ht="15.75" customHeight="1">
      <c r="A913" s="31"/>
    </row>
    <row r="914" ht="15.75" customHeight="1">
      <c r="A914" s="31"/>
    </row>
    <row r="915" ht="15.75" customHeight="1">
      <c r="A915" s="31"/>
    </row>
    <row r="916" ht="15.75" customHeight="1">
      <c r="A916" s="31"/>
    </row>
    <row r="917" ht="15.75" customHeight="1">
      <c r="A917" s="31"/>
    </row>
    <row r="918" ht="15.75" customHeight="1">
      <c r="A918" s="31"/>
    </row>
    <row r="919" ht="15.75" customHeight="1">
      <c r="A919" s="31"/>
    </row>
    <row r="920" ht="15.75" customHeight="1">
      <c r="A920" s="31"/>
    </row>
    <row r="921" ht="15.75" customHeight="1">
      <c r="A921" s="31"/>
    </row>
    <row r="922" ht="15.75" customHeight="1">
      <c r="A922" s="31"/>
    </row>
    <row r="923" ht="15.75" customHeight="1">
      <c r="A923" s="31"/>
    </row>
    <row r="924" ht="15.75" customHeight="1">
      <c r="A924" s="31"/>
    </row>
    <row r="925" ht="15.75" customHeight="1">
      <c r="A925" s="31"/>
    </row>
    <row r="926" ht="15.75" customHeight="1">
      <c r="A926" s="31"/>
    </row>
    <row r="927" ht="15.75" customHeight="1">
      <c r="A927" s="31"/>
    </row>
    <row r="928" ht="15.75" customHeight="1">
      <c r="A928" s="31"/>
    </row>
    <row r="929" ht="15.75" customHeight="1">
      <c r="A929" s="31"/>
    </row>
    <row r="930" ht="15.75" customHeight="1">
      <c r="A930" s="31"/>
    </row>
    <row r="931" ht="15.75" customHeight="1">
      <c r="A931" s="31"/>
    </row>
    <row r="932" ht="15.75" customHeight="1">
      <c r="A932" s="31"/>
    </row>
    <row r="933" ht="15.75" customHeight="1">
      <c r="A933" s="31"/>
    </row>
    <row r="934" ht="15.75" customHeight="1">
      <c r="A934" s="31"/>
    </row>
    <row r="935" ht="15.75" customHeight="1">
      <c r="A935" s="31"/>
    </row>
    <row r="936" ht="15.75" customHeight="1">
      <c r="A936" s="31"/>
    </row>
    <row r="937" ht="15.75" customHeight="1">
      <c r="A937" s="31"/>
    </row>
    <row r="938" ht="15.75" customHeight="1">
      <c r="A938" s="31"/>
    </row>
    <row r="939" ht="15.75" customHeight="1">
      <c r="A939" s="31"/>
    </row>
    <row r="940" ht="15.75" customHeight="1">
      <c r="A940" s="31"/>
    </row>
    <row r="941" ht="15.75" customHeight="1">
      <c r="A941" s="31"/>
    </row>
    <row r="942" ht="15.75" customHeight="1">
      <c r="A942" s="31"/>
    </row>
    <row r="943" ht="15.75" customHeight="1">
      <c r="A943" s="31"/>
    </row>
    <row r="944" ht="15.75" customHeight="1">
      <c r="A944" s="31"/>
    </row>
    <row r="945" ht="15.75" customHeight="1">
      <c r="A945" s="31"/>
    </row>
    <row r="946" ht="15.75" customHeight="1">
      <c r="A946" s="31"/>
    </row>
    <row r="947" ht="15.75" customHeight="1">
      <c r="A947" s="31"/>
    </row>
    <row r="948" ht="15.75" customHeight="1">
      <c r="A948" s="31"/>
    </row>
    <row r="949" ht="15.75" customHeight="1">
      <c r="A949" s="31"/>
    </row>
    <row r="950" ht="15.75" customHeight="1">
      <c r="A950" s="31"/>
    </row>
    <row r="951" ht="15.75" customHeight="1">
      <c r="A951" s="31"/>
    </row>
    <row r="952" ht="15.75" customHeight="1">
      <c r="A952" s="31"/>
    </row>
    <row r="953" ht="15.75" customHeight="1">
      <c r="A953" s="31"/>
    </row>
    <row r="954" ht="15.75" customHeight="1">
      <c r="A954" s="31"/>
    </row>
    <row r="955" ht="15.75" customHeight="1">
      <c r="A955" s="31"/>
    </row>
    <row r="956" ht="15.75" customHeight="1">
      <c r="A956" s="31"/>
    </row>
    <row r="957" ht="15.75" customHeight="1">
      <c r="A957" s="31"/>
    </row>
    <row r="958" ht="15.75" customHeight="1">
      <c r="A958" s="31"/>
    </row>
    <row r="959" ht="15.75" customHeight="1">
      <c r="A959" s="31"/>
    </row>
    <row r="960" ht="15.75" customHeight="1">
      <c r="A960" s="31"/>
    </row>
    <row r="961" ht="15.75" customHeight="1">
      <c r="A961" s="31"/>
    </row>
    <row r="962" ht="15.75" customHeight="1">
      <c r="A962" s="31"/>
    </row>
    <row r="963" ht="15.75" customHeight="1">
      <c r="A963" s="31"/>
    </row>
    <row r="964" ht="15.75" customHeight="1">
      <c r="A964" s="31"/>
    </row>
    <row r="965" ht="15.75" customHeight="1">
      <c r="A965" s="31"/>
    </row>
    <row r="966" ht="15.75" customHeight="1">
      <c r="A966" s="31"/>
    </row>
    <row r="967" ht="15.75" customHeight="1">
      <c r="A967" s="31"/>
    </row>
    <row r="968" ht="15.75" customHeight="1">
      <c r="A968" s="31"/>
    </row>
    <row r="969" ht="15.75" customHeight="1">
      <c r="A969" s="31"/>
    </row>
    <row r="970" ht="15.75" customHeight="1">
      <c r="A970" s="31"/>
    </row>
    <row r="971" ht="15.75" customHeight="1">
      <c r="A971" s="31"/>
    </row>
    <row r="972" ht="15.75" customHeight="1">
      <c r="A972" s="31"/>
    </row>
    <row r="973" ht="15.75" customHeight="1">
      <c r="A973" s="31"/>
    </row>
    <row r="974" ht="15.75" customHeight="1">
      <c r="A974" s="31"/>
    </row>
    <row r="975" ht="15.75" customHeight="1">
      <c r="A975" s="31"/>
    </row>
    <row r="976" ht="15.75" customHeight="1">
      <c r="A976" s="31"/>
    </row>
    <row r="977" ht="15.75" customHeight="1">
      <c r="A977" s="31"/>
    </row>
    <row r="978" ht="15.75" customHeight="1">
      <c r="A978" s="31"/>
    </row>
    <row r="979" ht="15.75" customHeight="1">
      <c r="A979" s="31"/>
    </row>
    <row r="980" ht="15.75" customHeight="1">
      <c r="A980" s="31"/>
    </row>
    <row r="981" ht="15.75" customHeight="1">
      <c r="A981" s="31"/>
    </row>
    <row r="982" ht="15.75" customHeight="1">
      <c r="A982" s="31"/>
    </row>
    <row r="983" ht="15.75" customHeight="1">
      <c r="A983" s="31"/>
    </row>
    <row r="984" ht="15.75" customHeight="1">
      <c r="A984" s="31"/>
    </row>
    <row r="985" ht="15.75" customHeight="1">
      <c r="A985" s="31"/>
    </row>
    <row r="986" ht="15.75" customHeight="1">
      <c r="A986" s="31"/>
    </row>
    <row r="987" ht="15.75" customHeight="1">
      <c r="A987" s="31"/>
    </row>
    <row r="988" ht="15.75" customHeight="1">
      <c r="A988" s="31"/>
    </row>
    <row r="989" ht="15.75" customHeight="1">
      <c r="A989" s="31"/>
    </row>
    <row r="990" ht="15.75" customHeight="1">
      <c r="A990" s="31"/>
    </row>
    <row r="991" ht="15.75" customHeight="1">
      <c r="A991" s="31"/>
    </row>
    <row r="992" ht="15.75" customHeight="1">
      <c r="A992" s="31"/>
    </row>
    <row r="993" ht="15.75" customHeight="1">
      <c r="A993" s="31"/>
    </row>
    <row r="994" ht="15.75" customHeight="1">
      <c r="A994" s="31"/>
    </row>
    <row r="995" ht="15.75" customHeight="1">
      <c r="A995" s="31"/>
    </row>
    <row r="996" ht="15.75" customHeight="1">
      <c r="A996" s="31"/>
    </row>
    <row r="997" ht="15.75" customHeight="1">
      <c r="A997" s="31"/>
    </row>
    <row r="998" ht="15.75" customHeight="1">
      <c r="A998" s="31"/>
    </row>
    <row r="999" ht="15.75" customHeight="1">
      <c r="A999" s="31"/>
    </row>
    <row r="1000" ht="15.75" customHeight="1">
      <c r="A1000" s="31"/>
    </row>
  </sheetData>
  <dataValidations>
    <dataValidation type="list" allowBlank="1" showInputMessage="1" prompt="Haz clic y escribe un valor del rango" sqref="B2:B200">
      <formula1>BD_PT!$B$2:$B$66</formula1>
    </dataValidation>
  </dataValidations>
  <printOptions/>
  <pageMargins bottom="0.75" footer="0.0" header="0.0" left="0.7" right="0.7" top="0.75"/>
  <pageSetup orientation="landscape"/>
  <drawing r:id="rId1"/>
</worksheet>
</file>